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00006785\Desktop\"/>
    </mc:Choice>
  </mc:AlternateContent>
  <xr:revisionPtr revIDLastSave="0" documentId="13_ncr:1_{AF4E7B3C-FDB8-43DF-8114-E47117592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認められないケース" sheetId="9" r:id="rId1"/>
    <sheet name="ケース１" sheetId="1" r:id="rId2"/>
    <sheet name="ケース２" sheetId="3" r:id="rId3"/>
    <sheet name="ケース３" sheetId="2" r:id="rId4"/>
    <sheet name="ケース４" sheetId="4" r:id="rId5"/>
    <sheet name="ケース５" sheetId="5" r:id="rId6"/>
    <sheet name="ケース６" sheetId="6" r:id="rId7"/>
    <sheet name="ケース７" sheetId="7" r:id="rId8"/>
    <sheet name="ケース８" sheetId="8" r:id="rId9"/>
  </sheets>
  <definedNames>
    <definedName name="_xlnm.Print_Area" localSheetId="0">認められないケース!$A$1:$L$26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9" l="1"/>
  <c r="J19" i="9"/>
  <c r="G17" i="9"/>
  <c r="J10" i="9"/>
  <c r="D7" i="9"/>
  <c r="D17" i="9" s="1"/>
  <c r="K19" i="8"/>
  <c r="J19" i="8"/>
  <c r="J21" i="8" s="1"/>
  <c r="G17" i="8"/>
  <c r="D17" i="8"/>
  <c r="J10" i="8"/>
  <c r="K19" i="7"/>
  <c r="J19" i="7"/>
  <c r="G17" i="7"/>
  <c r="D7" i="7" s="1"/>
  <c r="D17" i="7" s="1"/>
  <c r="J10" i="7"/>
  <c r="K19" i="6"/>
  <c r="J19" i="6"/>
  <c r="J21" i="6" s="1"/>
  <c r="G17" i="6"/>
  <c r="D17" i="6"/>
  <c r="J10" i="6"/>
  <c r="K19" i="5"/>
  <c r="J19" i="5"/>
  <c r="G17" i="5"/>
  <c r="D7" i="5" s="1"/>
  <c r="D17" i="5" s="1"/>
  <c r="J10" i="5"/>
  <c r="K19" i="4"/>
  <c r="J19" i="4"/>
  <c r="G17" i="4"/>
  <c r="J10" i="4"/>
  <c r="D17" i="4"/>
  <c r="K19" i="3"/>
  <c r="J19" i="3"/>
  <c r="J21" i="3" s="1"/>
  <c r="G17" i="3"/>
  <c r="J10" i="3"/>
  <c r="D17" i="3"/>
  <c r="K19" i="1"/>
  <c r="K19" i="2"/>
  <c r="D7" i="2"/>
  <c r="D17" i="2" s="1"/>
  <c r="D17" i="1"/>
  <c r="D7" i="1"/>
  <c r="G17" i="1"/>
  <c r="G17" i="2"/>
  <c r="J19" i="2"/>
  <c r="J10" i="2"/>
  <c r="J21" i="2" s="1"/>
  <c r="J10" i="1"/>
  <c r="J19" i="1"/>
  <c r="J21" i="1"/>
  <c r="J21" i="9" l="1"/>
  <c r="J21" i="7"/>
  <c r="J21" i="5"/>
  <c r="J21" i="4"/>
</calcChain>
</file>

<file path=xl/sharedStrings.xml><?xml version="1.0" encoding="utf-8"?>
<sst xmlns="http://schemas.openxmlformats.org/spreadsheetml/2006/main" count="291" uniqueCount="37">
  <si>
    <t>材料費</t>
    <rPh sb="0" eb="3">
      <t>ザイリョウヒ</t>
    </rPh>
    <phoneticPr fontId="2"/>
  </si>
  <si>
    <t>外注費</t>
    <rPh sb="0" eb="3">
      <t>ガイチュウヒ</t>
    </rPh>
    <phoneticPr fontId="2"/>
  </si>
  <si>
    <t>販促費</t>
    <rPh sb="0" eb="3">
      <t>ハンソクヒ</t>
    </rPh>
    <phoneticPr fontId="2"/>
  </si>
  <si>
    <t>利益</t>
    <rPh sb="0" eb="2">
      <t>リエキ</t>
    </rPh>
    <phoneticPr fontId="2"/>
  </si>
  <si>
    <t>【収入の部】</t>
    <rPh sb="1" eb="3">
      <t>シュウニュウ</t>
    </rPh>
    <rPh sb="4" eb="5">
      <t>ブ</t>
    </rPh>
    <phoneticPr fontId="2"/>
  </si>
  <si>
    <t>収入の種類</t>
    <rPh sb="0" eb="2">
      <t>シュウニュウ</t>
    </rPh>
    <rPh sb="3" eb="5">
      <t>シュルイ</t>
    </rPh>
    <phoneticPr fontId="2"/>
  </si>
  <si>
    <t>予算額</t>
    <rPh sb="0" eb="3">
      <t>ヨサンガク</t>
    </rPh>
    <phoneticPr fontId="2"/>
  </si>
  <si>
    <t>説明内容（算出基礎等）</t>
    <rPh sb="0" eb="4">
      <t>セツメイナイヨウ</t>
    </rPh>
    <rPh sb="5" eb="7">
      <t>サンシュツ</t>
    </rPh>
    <rPh sb="7" eb="9">
      <t>キソ</t>
    </rPh>
    <rPh sb="9" eb="10">
      <t>トウ</t>
    </rPh>
    <phoneticPr fontId="2"/>
  </si>
  <si>
    <t>自己資金</t>
    <rPh sb="0" eb="4">
      <t>ジコシキン</t>
    </rPh>
    <phoneticPr fontId="2"/>
  </si>
  <si>
    <t>盛岡市補助金</t>
    <rPh sb="0" eb="3">
      <t>モリオカシ</t>
    </rPh>
    <rPh sb="3" eb="6">
      <t>ホジョキン</t>
    </rPh>
    <phoneticPr fontId="2"/>
  </si>
  <si>
    <t>盛岡市森林づかいイノベーション事業費補助金</t>
    <rPh sb="0" eb="3">
      <t>モリオカシ</t>
    </rPh>
    <rPh sb="3" eb="5">
      <t>シンリン</t>
    </rPh>
    <rPh sb="15" eb="17">
      <t>ジギョウ</t>
    </rPh>
    <rPh sb="17" eb="18">
      <t>ヒ</t>
    </rPh>
    <rPh sb="18" eb="21">
      <t>ホジョキン</t>
    </rPh>
    <phoneticPr fontId="2"/>
  </si>
  <si>
    <t>【支出の部】</t>
    <rPh sb="1" eb="3">
      <t>シシュツ</t>
    </rPh>
    <rPh sb="4" eb="5">
      <t>ブ</t>
    </rPh>
    <phoneticPr fontId="2"/>
  </si>
  <si>
    <t>項目</t>
    <rPh sb="0" eb="2">
      <t>コウモク</t>
    </rPh>
    <phoneticPr fontId="2"/>
  </si>
  <si>
    <t>左のうち盛岡市補助金充当額</t>
    <rPh sb="0" eb="1">
      <t>ヒダリ</t>
    </rPh>
    <rPh sb="4" eb="7">
      <t>モリオカシ</t>
    </rPh>
    <rPh sb="7" eb="10">
      <t>ホジョキン</t>
    </rPh>
    <rPh sb="10" eb="13">
      <t>ジュウトウガク</t>
    </rPh>
    <phoneticPr fontId="2"/>
  </si>
  <si>
    <t>収入合計</t>
    <rPh sb="0" eb="2">
      <t>シュウニュウ</t>
    </rPh>
    <rPh sb="2" eb="4">
      <t>ゴウケイ</t>
    </rPh>
    <phoneticPr fontId="2"/>
  </si>
  <si>
    <t>外注費</t>
    <rPh sb="0" eb="2">
      <t>ガイチュウ</t>
    </rPh>
    <rPh sb="2" eb="3">
      <t>ヒ</t>
    </rPh>
    <phoneticPr fontId="2"/>
  </si>
  <si>
    <t>売上</t>
    <rPh sb="0" eb="2">
      <t>ウリアゲ</t>
    </rPh>
    <phoneticPr fontId="2"/>
  </si>
  <si>
    <t>支出合計</t>
    <rPh sb="0" eb="2">
      <t>シシュツ</t>
    </rPh>
    <rPh sb="2" eb="4">
      <t>ゴウケイ</t>
    </rPh>
    <phoneticPr fontId="2"/>
  </si>
  <si>
    <t>手数料</t>
    <rPh sb="0" eb="3">
      <t>テスウリョウ</t>
    </rPh>
    <phoneticPr fontId="2"/>
  </si>
  <si>
    <t>商品原価</t>
    <rPh sb="0" eb="2">
      <t>ショウヒン</t>
    </rPh>
    <rPh sb="2" eb="4">
      <t>ゲンカ</t>
    </rPh>
    <phoneticPr fontId="2"/>
  </si>
  <si>
    <t>収支差額（純利益）</t>
    <rPh sb="0" eb="2">
      <t>シュウシ</t>
    </rPh>
    <rPh sb="2" eb="4">
      <t>サガク</t>
    </rPh>
    <rPh sb="5" eb="8">
      <t>ジュンリエキ</t>
    </rPh>
    <phoneticPr fontId="2"/>
  </si>
  <si>
    <t>盛岡市森林づかいイノベーション事業におけるテスト販売に係る経費の取り扱いについて</t>
    <rPh sb="0" eb="3">
      <t>モリオカシ</t>
    </rPh>
    <rPh sb="3" eb="5">
      <t>シンリン</t>
    </rPh>
    <rPh sb="15" eb="17">
      <t>ジギョウ</t>
    </rPh>
    <rPh sb="24" eb="26">
      <t>ハンバイ</t>
    </rPh>
    <rPh sb="27" eb="28">
      <t>カカ</t>
    </rPh>
    <rPh sb="29" eb="31">
      <t>ケイヒ</t>
    </rPh>
    <rPh sb="32" eb="33">
      <t>ト</t>
    </rPh>
    <rPh sb="34" eb="35">
      <t>アツカ</t>
    </rPh>
    <phoneticPr fontId="2"/>
  </si>
  <si>
    <r>
      <t>【ケース１】商品原価に利益を</t>
    </r>
    <r>
      <rPr>
        <b/>
        <u/>
        <sz val="11"/>
        <color rgb="FFFF0000"/>
        <rFont val="游ゴシック Medium"/>
        <family val="3"/>
        <charset val="128"/>
      </rPr>
      <t>上乗せして</t>
    </r>
    <r>
      <rPr>
        <sz val="11"/>
        <color theme="1"/>
        <rFont val="游ゴシック Medium"/>
        <family val="3"/>
        <charset val="128"/>
      </rPr>
      <t>テスト販売し、商品が完売した場合（販売手数料が発生する場合）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カンバイ</t>
    </rPh>
    <rPh sb="33" eb="35">
      <t>バアイ</t>
    </rPh>
    <rPh sb="36" eb="41">
      <t>ハンバイテスウリョウ</t>
    </rPh>
    <rPh sb="42" eb="44">
      <t>ハッセイ</t>
    </rPh>
    <rPh sb="46" eb="48">
      <t>バアイ</t>
    </rPh>
    <phoneticPr fontId="2"/>
  </si>
  <si>
    <r>
      <t>【ケース３】商品原価に利益を</t>
    </r>
    <r>
      <rPr>
        <b/>
        <u/>
        <sz val="11"/>
        <color rgb="FFFF0000"/>
        <rFont val="游ゴシック Medium"/>
        <family val="3"/>
        <charset val="128"/>
      </rPr>
      <t>上乗せせず</t>
    </r>
    <r>
      <rPr>
        <sz val="11"/>
        <color theme="1"/>
        <rFont val="游ゴシック Medium"/>
        <family val="3"/>
        <charset val="128"/>
      </rPr>
      <t>テスト販売し、商品が完売した場合（販売手数料が発生する場合）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カンバイ</t>
    </rPh>
    <rPh sb="33" eb="35">
      <t>バアイ</t>
    </rPh>
    <rPh sb="36" eb="41">
      <t>ハンバイテスウリョウ</t>
    </rPh>
    <rPh sb="42" eb="44">
      <t>ハッセイ</t>
    </rPh>
    <rPh sb="46" eb="48">
      <t>バアイ</t>
    </rPh>
    <phoneticPr fontId="2"/>
  </si>
  <si>
    <r>
      <t>【ケース２】商品原価に利益を</t>
    </r>
    <r>
      <rPr>
        <b/>
        <u/>
        <sz val="11"/>
        <color rgb="FFFF0000"/>
        <rFont val="游ゴシック Medium"/>
        <family val="3"/>
        <charset val="128"/>
      </rPr>
      <t>上乗せして</t>
    </r>
    <r>
      <rPr>
        <sz val="11"/>
        <color theme="1"/>
        <rFont val="游ゴシック Medium"/>
        <family val="3"/>
        <charset val="128"/>
      </rPr>
      <t>テスト販売し、商品が完売した場合（販売手数料が発生しない場合）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カンバイ</t>
    </rPh>
    <rPh sb="33" eb="35">
      <t>バアイ</t>
    </rPh>
    <rPh sb="36" eb="41">
      <t>ハンバイテスウリョウ</t>
    </rPh>
    <rPh sb="42" eb="44">
      <t>ハッセイ</t>
    </rPh>
    <rPh sb="47" eb="49">
      <t>バアイ</t>
    </rPh>
    <phoneticPr fontId="2"/>
  </si>
  <si>
    <r>
      <t>【ケース４】商品原価に利益を</t>
    </r>
    <r>
      <rPr>
        <b/>
        <u/>
        <sz val="11"/>
        <color rgb="FFFF0000"/>
        <rFont val="游ゴシック Medium"/>
        <family val="3"/>
        <charset val="128"/>
      </rPr>
      <t>上乗せせず</t>
    </r>
    <r>
      <rPr>
        <sz val="11"/>
        <color theme="1"/>
        <rFont val="游ゴシック Medium"/>
        <family val="3"/>
        <charset val="128"/>
      </rPr>
      <t>テスト販売し、商品が完売した場合（販売手数料が発生しない場合）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カンバイ</t>
    </rPh>
    <rPh sb="33" eb="35">
      <t>バアイ</t>
    </rPh>
    <rPh sb="36" eb="41">
      <t>ハンバイテスウリョウ</t>
    </rPh>
    <rPh sb="42" eb="44">
      <t>ハッセイ</t>
    </rPh>
    <rPh sb="47" eb="49">
      <t>バアイ</t>
    </rPh>
    <phoneticPr fontId="2"/>
  </si>
  <si>
    <r>
      <t>【ケース５】商品原価に利益を</t>
    </r>
    <r>
      <rPr>
        <b/>
        <u/>
        <sz val="11"/>
        <color rgb="FFFF0000"/>
        <rFont val="游ゴシック Medium"/>
        <family val="3"/>
        <charset val="128"/>
      </rPr>
      <t>上乗せして</t>
    </r>
    <r>
      <rPr>
        <sz val="11"/>
        <color theme="1"/>
        <rFont val="游ゴシック Medium"/>
        <family val="3"/>
        <charset val="128"/>
      </rPr>
      <t>テスト販売し、商品が</t>
    </r>
    <r>
      <rPr>
        <b/>
        <u/>
        <sz val="11"/>
        <color rgb="FFFF0000"/>
        <rFont val="游ゴシック Medium"/>
        <family val="3"/>
        <charset val="128"/>
      </rPr>
      <t>半分のみ売れた</t>
    </r>
    <r>
      <rPr>
        <sz val="11"/>
        <color theme="1"/>
        <rFont val="游ゴシック Medium"/>
        <family val="3"/>
        <charset val="128"/>
      </rPr>
      <t>場合（販売手数料が発生する場合）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ハンブン</t>
    </rPh>
    <rPh sb="33" eb="34">
      <t>ウ</t>
    </rPh>
    <rPh sb="36" eb="38">
      <t>バアイ</t>
    </rPh>
    <rPh sb="39" eb="44">
      <t>ハンバイテスウリョウ</t>
    </rPh>
    <rPh sb="45" eb="47">
      <t>ハッセイ</t>
    </rPh>
    <rPh sb="49" eb="51">
      <t>バアイ</t>
    </rPh>
    <phoneticPr fontId="2"/>
  </si>
  <si>
    <r>
      <t>【ケース６】商品原価に利益を</t>
    </r>
    <r>
      <rPr>
        <b/>
        <u/>
        <sz val="11"/>
        <color rgb="FFFF0000"/>
        <rFont val="游ゴシック Medium"/>
        <family val="3"/>
        <charset val="128"/>
      </rPr>
      <t>上乗せして</t>
    </r>
    <r>
      <rPr>
        <sz val="11"/>
        <color theme="1"/>
        <rFont val="游ゴシック Medium"/>
        <family val="3"/>
        <charset val="128"/>
      </rPr>
      <t>テスト販売し、商品が</t>
    </r>
    <r>
      <rPr>
        <b/>
        <u/>
        <sz val="11"/>
        <color rgb="FFFF0000"/>
        <rFont val="游ゴシック Medium"/>
        <family val="3"/>
        <charset val="128"/>
      </rPr>
      <t>半分のみ売れた</t>
    </r>
    <r>
      <rPr>
        <sz val="11"/>
        <color theme="1"/>
        <rFont val="游ゴシック Medium"/>
        <family val="3"/>
        <charset val="128"/>
      </rPr>
      <t>場合（販売手数料が発生しない場合）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ハンブン</t>
    </rPh>
    <rPh sb="33" eb="34">
      <t>ウ</t>
    </rPh>
    <rPh sb="36" eb="38">
      <t>バアイ</t>
    </rPh>
    <rPh sb="39" eb="44">
      <t>ハンバイテスウリョウ</t>
    </rPh>
    <rPh sb="45" eb="47">
      <t>ハッセイ</t>
    </rPh>
    <rPh sb="50" eb="52">
      <t>バアイ</t>
    </rPh>
    <phoneticPr fontId="2"/>
  </si>
  <si>
    <r>
      <t>【ケース７】商品原価に利益を</t>
    </r>
    <r>
      <rPr>
        <b/>
        <u/>
        <sz val="11"/>
        <color rgb="FFFF0000"/>
        <rFont val="游ゴシック Medium"/>
        <family val="3"/>
        <charset val="128"/>
      </rPr>
      <t>上乗せせず</t>
    </r>
    <r>
      <rPr>
        <sz val="11"/>
        <color theme="1"/>
        <rFont val="游ゴシック Medium"/>
        <family val="3"/>
        <charset val="128"/>
      </rPr>
      <t>テスト販売し、商品が</t>
    </r>
    <r>
      <rPr>
        <b/>
        <u/>
        <sz val="11"/>
        <color rgb="FFFF0000"/>
        <rFont val="游ゴシック Medium"/>
        <family val="3"/>
        <charset val="128"/>
      </rPr>
      <t>半分のみ売れた</t>
    </r>
    <r>
      <rPr>
        <sz val="11"/>
        <color theme="1"/>
        <rFont val="游ゴシック Medium"/>
        <family val="3"/>
        <charset val="128"/>
      </rPr>
      <t>場合（販売手数料が発生する場合）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39" eb="44">
      <t>ハンバイテスウリョウ</t>
    </rPh>
    <rPh sb="45" eb="47">
      <t>ハッセイ</t>
    </rPh>
    <rPh sb="49" eb="51">
      <t>バアイ</t>
    </rPh>
    <phoneticPr fontId="2"/>
  </si>
  <si>
    <r>
      <t>【ケース８】商品原価に利益を</t>
    </r>
    <r>
      <rPr>
        <b/>
        <u/>
        <sz val="11"/>
        <color rgb="FFFF0000"/>
        <rFont val="游ゴシック Medium"/>
        <family val="3"/>
        <charset val="128"/>
      </rPr>
      <t>上乗せせず</t>
    </r>
    <r>
      <rPr>
        <sz val="11"/>
        <color theme="1"/>
        <rFont val="游ゴシック Medium"/>
        <family val="3"/>
        <charset val="128"/>
      </rPr>
      <t>テスト販売し、商品が完売した場合（販売手数料が発生しない場合）</t>
    </r>
    <rPh sb="6" eb="8">
      <t>ショウヒン</t>
    </rPh>
    <rPh sb="8" eb="10">
      <t>ゲンカ</t>
    </rPh>
    <rPh sb="11" eb="13">
      <t>リエキ</t>
    </rPh>
    <rPh sb="14" eb="16">
      <t>ウワノ</t>
    </rPh>
    <rPh sb="22" eb="24">
      <t>ハンバイ</t>
    </rPh>
    <rPh sb="26" eb="28">
      <t>ショウヒン</t>
    </rPh>
    <rPh sb="29" eb="31">
      <t>カンバイ</t>
    </rPh>
    <rPh sb="33" eb="35">
      <t>バアイ</t>
    </rPh>
    <rPh sb="36" eb="41">
      <t>ハンバイテスウリョウ</t>
    </rPh>
    <rPh sb="42" eb="44">
      <t>ハッセイ</t>
    </rPh>
    <rPh sb="47" eb="49">
      <t>バアイ</t>
    </rPh>
    <phoneticPr fontId="2"/>
  </si>
  <si>
    <r>
      <t>クラウドファンディング収入　</t>
    </r>
    <r>
      <rPr>
        <b/>
        <u/>
        <sz val="11"/>
        <color rgb="FFFF0000"/>
        <rFont val="游ゴシック Medium"/>
        <family val="3"/>
        <charset val="128"/>
      </rPr>
      <t>8千円</t>
    </r>
    <r>
      <rPr>
        <sz val="11"/>
        <color theme="1"/>
        <rFont val="游ゴシック Medium"/>
        <family val="3"/>
        <charset val="128"/>
      </rPr>
      <t>×</t>
    </r>
    <r>
      <rPr>
        <b/>
        <u/>
        <sz val="11"/>
        <color rgb="FFFF0000"/>
        <rFont val="游ゴシック Medium"/>
        <family val="3"/>
        <charset val="128"/>
      </rPr>
      <t>100セット</t>
    </r>
    <rPh sb="11" eb="13">
      <t>シュウニュウ</t>
    </rPh>
    <rPh sb="15" eb="17">
      <t>センエン</t>
    </rPh>
    <phoneticPr fontId="2"/>
  </si>
  <si>
    <r>
      <t>クラウドファンディング収入　</t>
    </r>
    <r>
      <rPr>
        <b/>
        <u/>
        <sz val="11"/>
        <color rgb="FFFF0000"/>
        <rFont val="游ゴシック Medium"/>
        <family val="3"/>
        <charset val="128"/>
      </rPr>
      <t>10千円</t>
    </r>
    <r>
      <rPr>
        <sz val="11"/>
        <color theme="1"/>
        <rFont val="游ゴシック Medium"/>
        <family val="3"/>
        <charset val="128"/>
      </rPr>
      <t>×</t>
    </r>
    <r>
      <rPr>
        <b/>
        <u/>
        <sz val="11"/>
        <color rgb="FFFF0000"/>
        <rFont val="游ゴシック Medium"/>
        <family val="3"/>
        <charset val="128"/>
      </rPr>
      <t>100セット</t>
    </r>
    <rPh sb="11" eb="13">
      <t>シュウニュウ</t>
    </rPh>
    <rPh sb="16" eb="18">
      <t>センエン</t>
    </rPh>
    <phoneticPr fontId="2"/>
  </si>
  <si>
    <r>
      <t>クラウドファンディング収入　</t>
    </r>
    <r>
      <rPr>
        <b/>
        <u/>
        <sz val="11"/>
        <color rgb="FFFF0000"/>
        <rFont val="游ゴシック Medium"/>
        <family val="3"/>
        <charset val="128"/>
      </rPr>
      <t>10千円</t>
    </r>
    <r>
      <rPr>
        <sz val="11"/>
        <color theme="1"/>
        <rFont val="游ゴシック Medium"/>
        <family val="3"/>
        <charset val="128"/>
      </rPr>
      <t>×</t>
    </r>
    <r>
      <rPr>
        <b/>
        <u/>
        <sz val="11"/>
        <color rgb="FFFF0000"/>
        <rFont val="游ゴシック Medium"/>
        <family val="3"/>
        <charset val="128"/>
      </rPr>
      <t>50セット</t>
    </r>
    <rPh sb="11" eb="13">
      <t>シュウニュウ</t>
    </rPh>
    <rPh sb="16" eb="18">
      <t>センエン</t>
    </rPh>
    <phoneticPr fontId="2"/>
  </si>
  <si>
    <r>
      <t>クラウドファンディング収入　</t>
    </r>
    <r>
      <rPr>
        <b/>
        <u/>
        <sz val="11"/>
        <color rgb="FFFF0000"/>
        <rFont val="游ゴシック Medium"/>
        <family val="3"/>
        <charset val="128"/>
      </rPr>
      <t>8千円</t>
    </r>
    <r>
      <rPr>
        <sz val="11"/>
        <color theme="1"/>
        <rFont val="游ゴシック Medium"/>
        <family val="3"/>
        <charset val="128"/>
      </rPr>
      <t>×</t>
    </r>
    <r>
      <rPr>
        <b/>
        <u/>
        <sz val="11"/>
        <color rgb="FFFF0000"/>
        <rFont val="游ゴシック Medium"/>
        <family val="3"/>
        <charset val="128"/>
      </rPr>
      <t>50セット</t>
    </r>
    <rPh sb="11" eb="13">
      <t>シュウニュウ</t>
    </rPh>
    <rPh sb="15" eb="17">
      <t>センエン</t>
    </rPh>
    <phoneticPr fontId="2"/>
  </si>
  <si>
    <t>【NGケース】補助金の支給を受けた上で、利益が生じている場合</t>
    <rPh sb="7" eb="10">
      <t>ホジョキン</t>
    </rPh>
    <rPh sb="11" eb="13">
      <t>シキュウ</t>
    </rPh>
    <rPh sb="14" eb="15">
      <t>ウ</t>
    </rPh>
    <rPh sb="17" eb="18">
      <t>ウエ</t>
    </rPh>
    <rPh sb="20" eb="22">
      <t>リエキ</t>
    </rPh>
    <rPh sb="23" eb="24">
      <t>ショウ</t>
    </rPh>
    <rPh sb="28" eb="30">
      <t>バアイ</t>
    </rPh>
    <phoneticPr fontId="2"/>
  </si>
  <si>
    <r>
      <t xml:space="preserve">←補助金支給を受けた上で利益が生じている
</t>
    </r>
    <r>
      <rPr>
        <sz val="11"/>
        <color rgb="FFFF0000"/>
        <rFont val="游ゴシック Medium"/>
        <family val="3"/>
        <charset val="128"/>
      </rPr>
      <t>　</t>
    </r>
    <r>
      <rPr>
        <b/>
        <u/>
        <sz val="11"/>
        <color rgb="FFFF0000"/>
        <rFont val="游ゴシック Medium"/>
        <family val="3"/>
        <charset val="128"/>
      </rPr>
      <t>ため、補助金適化法に抵触するもの</t>
    </r>
    <rPh sb="1" eb="4">
      <t>ホジョキン</t>
    </rPh>
    <rPh sb="4" eb="6">
      <t>シキュウ</t>
    </rPh>
    <rPh sb="7" eb="8">
      <t>ウ</t>
    </rPh>
    <rPh sb="10" eb="11">
      <t>ウエ</t>
    </rPh>
    <rPh sb="12" eb="14">
      <t>リエキ</t>
    </rPh>
    <rPh sb="15" eb="16">
      <t>ショウ</t>
    </rPh>
    <rPh sb="25" eb="28">
      <t>ホジョキン</t>
    </rPh>
    <rPh sb="28" eb="29">
      <t>テキ</t>
    </rPh>
    <rPh sb="29" eb="30">
      <t>カ</t>
    </rPh>
    <rPh sb="30" eb="31">
      <t>ホウ</t>
    </rPh>
    <rPh sb="32" eb="34">
      <t>テイショク</t>
    </rPh>
    <phoneticPr fontId="2"/>
  </si>
  <si>
    <t>　※収支差額（純利益）が０千円となる必要が
　　あるため、この場合には支出の部において、
　　1,000千円分の経費が発生していれば適法で
　　あると判断できる。</t>
    <rPh sb="2" eb="6">
      <t>シュウシサガク</t>
    </rPh>
    <rPh sb="7" eb="10">
      <t>ジュンリエキ</t>
    </rPh>
    <rPh sb="13" eb="15">
      <t>センエン</t>
    </rPh>
    <rPh sb="18" eb="20">
      <t>ヒツヨウ</t>
    </rPh>
    <rPh sb="31" eb="33">
      <t>バアイ</t>
    </rPh>
    <rPh sb="35" eb="37">
      <t>シシュツ</t>
    </rPh>
    <rPh sb="38" eb="39">
      <t>ブ</t>
    </rPh>
    <rPh sb="52" eb="54">
      <t>センエン</t>
    </rPh>
    <rPh sb="54" eb="55">
      <t>ブン</t>
    </rPh>
    <rPh sb="56" eb="58">
      <t>ケイヒ</t>
    </rPh>
    <rPh sb="59" eb="61">
      <t>ハッセイ</t>
    </rPh>
    <rPh sb="66" eb="68">
      <t>テキホウ</t>
    </rPh>
    <rPh sb="75" eb="77">
      <t>ハンダン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</si>
</sst>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,##0&quot;千&quot;&quot;円&quot;"/>
  </numFmts>
  <fonts count="8">
    <font>
      <sz val="11"/>
      <color theme="1"/>
      <name val="Yu Gothic"/>
      <family val="2"/>
      <scheme val="minor"/>
    </font>
    <font>
      <sz val="11"/>
      <color theme="1"/>
      <name val="游ゴシック Medium"/>
      <family val="3"/>
      <charset val="128"/>
    </font>
    <font>
      <sz val="6"/>
      <name val="Yu Gothic"/>
      <family val="3"/>
      <charset val="128"/>
      <scheme val="minor"/>
    </font>
    <font>
      <sz val="8"/>
      <color theme="1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sz val="11"/>
      <color rgb="FFFF0000"/>
      <name val="游ゴシック Medium"/>
      <family val="3"/>
      <charset val="128"/>
    </font>
    <font>
      <b/>
      <sz val="11"/>
      <color rgb="FFFF0000"/>
      <name val="游ゴシック Medium"/>
      <family val="3"/>
      <charset val="128"/>
    </font>
    <font>
      <b/>
      <u/>
      <sz val="11"/>
      <color rgb="FFFF0000"/>
      <name val="游ゴシック Medium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81" fontId="1" fillId="0" borderId="11" xfId="0" applyNumberFormat="1" applyFont="1" applyBorder="1" applyAlignment="1">
      <alignment horizontal="righ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4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5" xfId="0" applyFont="1" applyBorder="1" applyAlignment="1">
      <alignment vertical="center"/>
    </xf>
    <xf numFmtId="181" fontId="1" fillId="0" borderId="15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181" fontId="1" fillId="0" borderId="14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vertical="center"/>
    </xf>
    <xf numFmtId="181" fontId="1" fillId="0" borderId="16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81" fontId="1" fillId="0" borderId="17" xfId="0" applyNumberFormat="1" applyFont="1" applyBorder="1" applyAlignment="1">
      <alignment horizontal="right" vertical="center"/>
    </xf>
    <xf numFmtId="181" fontId="1" fillId="3" borderId="11" xfId="0" applyNumberFormat="1" applyFont="1" applyFill="1" applyBorder="1" applyAlignment="1">
      <alignment horizontal="right" vertical="center"/>
    </xf>
    <xf numFmtId="181" fontId="1" fillId="3" borderId="11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81" fontId="3" fillId="0" borderId="0" xfId="0" applyNumberFormat="1" applyFont="1" applyAlignment="1">
      <alignment horizontal="right" vertical="center"/>
    </xf>
    <xf numFmtId="181" fontId="3" fillId="0" borderId="10" xfId="0" applyNumberFormat="1" applyFont="1" applyBorder="1" applyAlignment="1">
      <alignment horizontal="right" vertical="center"/>
    </xf>
    <xf numFmtId="181" fontId="3" fillId="3" borderId="12" xfId="0" applyNumberFormat="1" applyFont="1" applyFill="1" applyBorder="1" applyAlignment="1">
      <alignment horizontal="right" vertical="center"/>
    </xf>
    <xf numFmtId="181" fontId="3" fillId="0" borderId="4" xfId="0" applyNumberFormat="1" applyFont="1" applyBorder="1" applyAlignment="1">
      <alignment horizontal="right" vertical="center"/>
    </xf>
    <xf numFmtId="181" fontId="6" fillId="0" borderId="15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81" fontId="3" fillId="0" borderId="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center" vertical="center"/>
    </xf>
    <xf numFmtId="181" fontId="3" fillId="0" borderId="0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181" fontId="6" fillId="0" borderId="11" xfId="0" applyNumberFormat="1" applyFont="1" applyBorder="1" applyAlignment="1">
      <alignment horizontal="right" vertical="center"/>
    </xf>
    <xf numFmtId="181" fontId="6" fillId="0" borderId="14" xfId="0" applyNumberFormat="1" applyFont="1" applyBorder="1" applyAlignment="1">
      <alignment horizontal="right" vertical="center"/>
    </xf>
    <xf numFmtId="181" fontId="6" fillId="0" borderId="16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181" fontId="7" fillId="0" borderId="14" xfId="0" applyNumberFormat="1" applyFont="1" applyBorder="1" applyAlignment="1">
      <alignment horizontal="right" vertical="center"/>
    </xf>
    <xf numFmtId="181" fontId="7" fillId="0" borderId="16" xfId="0" applyNumberFormat="1" applyFont="1" applyBorder="1" applyAlignment="1">
      <alignment horizontal="right" vertical="center"/>
    </xf>
    <xf numFmtId="181" fontId="7" fillId="0" borderId="15" xfId="0" applyNumberFormat="1" applyFont="1" applyBorder="1" applyAlignment="1">
      <alignment horizontal="right" vertical="center"/>
    </xf>
    <xf numFmtId="181" fontId="7" fillId="0" borderId="11" xfId="0" applyNumberFormat="1" applyFont="1" applyBorder="1" applyAlignment="1">
      <alignment horizontal="right" vertical="center"/>
    </xf>
    <xf numFmtId="181" fontId="6" fillId="3" borderId="11" xfId="0" applyNumberFormat="1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ECFF"/>
      <color rgb="FFFFCCFF"/>
      <color rgb="FFFFFFCC"/>
      <color rgb="FFCCFFCC"/>
      <color rgb="FFFFCC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99060</xdr:rowOff>
    </xdr:from>
    <xdr:to>
      <xdr:col>6</xdr:col>
      <xdr:colOff>0</xdr:colOff>
      <xdr:row>5</xdr:row>
      <xdr:rowOff>114300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B6E000B4-2158-4A6C-8ED1-4CE2E084999C}"/>
            </a:ext>
          </a:extLst>
        </xdr:cNvPr>
        <xdr:cNvSpPr/>
      </xdr:nvSpPr>
      <xdr:spPr>
        <a:xfrm>
          <a:off x="1310640" y="1036320"/>
          <a:ext cx="1661160" cy="243840"/>
        </a:xfrm>
        <a:prstGeom prst="borderCallout2">
          <a:avLst>
            <a:gd name="adj1" fmla="val 50721"/>
            <a:gd name="adj2" fmla="val 277"/>
            <a:gd name="adj3" fmla="val 50000"/>
            <a:gd name="adj4" fmla="val -15960"/>
            <a:gd name="adj5" fmla="val 150962"/>
            <a:gd name="adj6" fmla="val -22647"/>
          </a:avLst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販売手数料：売上金額の</a:t>
          </a:r>
          <a:r>
            <a:rPr kumimoji="1" lang="en-US" altLang="ja-JP" sz="800">
              <a:solidFill>
                <a:schemeClr val="tx1"/>
              </a:solidFill>
            </a:rPr>
            <a:t>10</a:t>
          </a:r>
          <a:r>
            <a:rPr kumimoji="1" lang="ja-JP" altLang="en-US" sz="800">
              <a:solidFill>
                <a:schemeClr val="tx1"/>
              </a:solidFill>
            </a:rPr>
            <a:t>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99060</xdr:rowOff>
    </xdr:from>
    <xdr:to>
      <xdr:col>6</xdr:col>
      <xdr:colOff>0</xdr:colOff>
      <xdr:row>5</xdr:row>
      <xdr:rowOff>114300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3C6A1431-7118-0B18-0345-800623F7BA18}"/>
            </a:ext>
          </a:extLst>
        </xdr:cNvPr>
        <xdr:cNvSpPr/>
      </xdr:nvSpPr>
      <xdr:spPr>
        <a:xfrm>
          <a:off x="2174045" y="1013460"/>
          <a:ext cx="1659401" cy="243840"/>
        </a:xfrm>
        <a:prstGeom prst="borderCallout2">
          <a:avLst>
            <a:gd name="adj1" fmla="val 50721"/>
            <a:gd name="adj2" fmla="val 277"/>
            <a:gd name="adj3" fmla="val 50000"/>
            <a:gd name="adj4" fmla="val -15960"/>
            <a:gd name="adj5" fmla="val 150962"/>
            <a:gd name="adj6" fmla="val -22647"/>
          </a:avLst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販売手数料：売上金額の</a:t>
          </a:r>
          <a:r>
            <a:rPr kumimoji="1" lang="en-US" altLang="ja-JP" sz="800">
              <a:solidFill>
                <a:schemeClr val="tx1"/>
              </a:solidFill>
            </a:rPr>
            <a:t>10</a:t>
          </a:r>
          <a:r>
            <a:rPr kumimoji="1" lang="ja-JP" altLang="en-US" sz="800">
              <a:solidFill>
                <a:schemeClr val="tx1"/>
              </a:solidFill>
            </a:rPr>
            <a:t>％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99060</xdr:rowOff>
    </xdr:from>
    <xdr:to>
      <xdr:col>6</xdr:col>
      <xdr:colOff>0</xdr:colOff>
      <xdr:row>5</xdr:row>
      <xdr:rowOff>114300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0F3AC5A3-BD01-4E73-9931-57B9CDB3D88A}"/>
            </a:ext>
          </a:extLst>
        </xdr:cNvPr>
        <xdr:cNvSpPr/>
      </xdr:nvSpPr>
      <xdr:spPr>
        <a:xfrm>
          <a:off x="1310640" y="1036320"/>
          <a:ext cx="1661160" cy="243840"/>
        </a:xfrm>
        <a:prstGeom prst="borderCallout2">
          <a:avLst>
            <a:gd name="adj1" fmla="val 50721"/>
            <a:gd name="adj2" fmla="val 277"/>
            <a:gd name="adj3" fmla="val 50000"/>
            <a:gd name="adj4" fmla="val -15960"/>
            <a:gd name="adj5" fmla="val 150962"/>
            <a:gd name="adj6" fmla="val -22647"/>
          </a:avLst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販売手数料：売上金額の</a:t>
          </a:r>
          <a:r>
            <a:rPr kumimoji="1" lang="en-US" altLang="ja-JP" sz="800">
              <a:solidFill>
                <a:schemeClr val="tx1"/>
              </a:solidFill>
            </a:rPr>
            <a:t>10</a:t>
          </a:r>
          <a:r>
            <a:rPr kumimoji="1" lang="ja-JP" altLang="en-US" sz="800">
              <a:solidFill>
                <a:schemeClr val="tx1"/>
              </a:solidFill>
            </a:rPr>
            <a:t>％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99060</xdr:rowOff>
    </xdr:from>
    <xdr:to>
      <xdr:col>6</xdr:col>
      <xdr:colOff>0</xdr:colOff>
      <xdr:row>5</xdr:row>
      <xdr:rowOff>114300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A45C08C9-CCAE-4A68-82C7-D7EC694717D6}"/>
            </a:ext>
          </a:extLst>
        </xdr:cNvPr>
        <xdr:cNvSpPr/>
      </xdr:nvSpPr>
      <xdr:spPr>
        <a:xfrm>
          <a:off x="1310640" y="1036320"/>
          <a:ext cx="1661160" cy="243840"/>
        </a:xfrm>
        <a:prstGeom prst="borderCallout2">
          <a:avLst>
            <a:gd name="adj1" fmla="val 50721"/>
            <a:gd name="adj2" fmla="val 277"/>
            <a:gd name="adj3" fmla="val 50000"/>
            <a:gd name="adj4" fmla="val -15960"/>
            <a:gd name="adj5" fmla="val 150962"/>
            <a:gd name="adj6" fmla="val -22647"/>
          </a:avLst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販売手数料：売上金額の</a:t>
          </a:r>
          <a:r>
            <a:rPr kumimoji="1" lang="en-US" altLang="ja-JP" sz="800">
              <a:solidFill>
                <a:schemeClr val="tx1"/>
              </a:solidFill>
            </a:rPr>
            <a:t>10</a:t>
          </a:r>
          <a:r>
            <a:rPr kumimoji="1" lang="ja-JP" altLang="en-US" sz="800">
              <a:solidFill>
                <a:schemeClr val="tx1"/>
              </a:solidFill>
            </a:rPr>
            <a:t>％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4</xdr:row>
      <xdr:rowOff>99060</xdr:rowOff>
    </xdr:from>
    <xdr:to>
      <xdr:col>6</xdr:col>
      <xdr:colOff>0</xdr:colOff>
      <xdr:row>5</xdr:row>
      <xdr:rowOff>114300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AE52B957-5EE8-47FF-BEA0-DBB4D897A06C}"/>
            </a:ext>
          </a:extLst>
        </xdr:cNvPr>
        <xdr:cNvSpPr/>
      </xdr:nvSpPr>
      <xdr:spPr>
        <a:xfrm>
          <a:off x="1310640" y="1036320"/>
          <a:ext cx="1661160" cy="243840"/>
        </a:xfrm>
        <a:prstGeom prst="borderCallout2">
          <a:avLst>
            <a:gd name="adj1" fmla="val 50721"/>
            <a:gd name="adj2" fmla="val 277"/>
            <a:gd name="adj3" fmla="val 50000"/>
            <a:gd name="adj4" fmla="val -15960"/>
            <a:gd name="adj5" fmla="val 150962"/>
            <a:gd name="adj6" fmla="val -22647"/>
          </a:avLst>
        </a:prstGeom>
        <a:solidFill>
          <a:srgbClr val="CC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chemeClr val="tx1"/>
              </a:solidFill>
            </a:rPr>
            <a:t>販売手数料：売上金額の</a:t>
          </a:r>
          <a:r>
            <a:rPr kumimoji="1" lang="en-US" altLang="ja-JP" sz="800">
              <a:solidFill>
                <a:schemeClr val="tx1"/>
              </a:solidFill>
            </a:rPr>
            <a:t>10</a:t>
          </a:r>
          <a:r>
            <a:rPr kumimoji="1" lang="ja-JP" altLang="en-US" sz="800">
              <a:solidFill>
                <a:schemeClr val="tx1"/>
              </a:solidFill>
            </a:rPr>
            <a:t>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1894-C3FD-4AC1-99A1-8FFA3B815250}">
  <sheetPr>
    <tabColor rgb="FFFF0000"/>
    <pageSetUpPr fitToPage="1"/>
  </sheetPr>
  <dimension ref="A1:L26"/>
  <sheetViews>
    <sheetView tabSelected="1" view="pageBreakPreview" zoomScaleNormal="100" zoomScaleSheetLayoutView="100" workbookViewId="0">
      <selection activeCell="O8" sqref="O8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57" t="s">
        <v>34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 ht="18.600000000000001" thickBot="1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0" t="s">
        <v>18</v>
      </c>
      <c r="D7" s="36">
        <f>G17*0.1</f>
        <v>100</v>
      </c>
      <c r="F7" s="45" t="s">
        <v>3</v>
      </c>
      <c r="G7" s="34">
        <v>200</v>
      </c>
      <c r="I7" s="19" t="s">
        <v>8</v>
      </c>
      <c r="J7" s="20">
        <v>0</v>
      </c>
      <c r="K7" s="24"/>
      <c r="L7" s="24"/>
    </row>
    <row r="8" spans="1:12" ht="18.600000000000001" thickBot="1">
      <c r="C8" s="4"/>
      <c r="D8" s="6"/>
      <c r="F8" s="46"/>
      <c r="G8" s="34"/>
      <c r="I8" s="26" t="s">
        <v>16</v>
      </c>
      <c r="J8" s="27">
        <v>1000</v>
      </c>
      <c r="K8" s="25" t="s">
        <v>31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100</v>
      </c>
      <c r="I9" s="17" t="s">
        <v>9</v>
      </c>
      <c r="J9" s="37">
        <v>900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200</v>
      </c>
      <c r="I10" s="8" t="s">
        <v>14</v>
      </c>
      <c r="J10" s="28">
        <f>SUM(J7:J9)</f>
        <v>1900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500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58">
        <v>100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59">
        <v>200</v>
      </c>
      <c r="L16" s="21"/>
    </row>
    <row r="17" spans="3:12">
      <c r="C17" s="3" t="s">
        <v>19</v>
      </c>
      <c r="D17" s="35">
        <f>SUM(D7:D16)</f>
        <v>900</v>
      </c>
      <c r="E17" s="15"/>
      <c r="F17" s="3" t="s">
        <v>16</v>
      </c>
      <c r="G17" s="35">
        <f>SUM(G7:G16)</f>
        <v>1000</v>
      </c>
      <c r="I17" s="21" t="s">
        <v>0</v>
      </c>
      <c r="J17" s="22">
        <v>500</v>
      </c>
      <c r="K17" s="59">
        <v>500</v>
      </c>
      <c r="L17" s="21"/>
    </row>
    <row r="18" spans="3:12">
      <c r="I18" s="17" t="s">
        <v>18</v>
      </c>
      <c r="J18" s="18">
        <v>100</v>
      </c>
      <c r="K18" s="60">
        <v>100</v>
      </c>
      <c r="L18" s="17"/>
    </row>
    <row r="19" spans="3:12">
      <c r="I19" s="8" t="s">
        <v>17</v>
      </c>
      <c r="J19" s="28">
        <f>SUM(J15:J18)</f>
        <v>900</v>
      </c>
      <c r="K19" s="61">
        <f>SUM(K15:K18)</f>
        <v>900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62">
        <f>J10-J19</f>
        <v>1000</v>
      </c>
      <c r="K21" s="63" t="s">
        <v>35</v>
      </c>
      <c r="L21" s="63"/>
    </row>
    <row r="22" spans="3:12">
      <c r="C22" s="1"/>
      <c r="D22" s="1"/>
      <c r="F22" s="1"/>
      <c r="I22" s="1"/>
      <c r="J22" s="1"/>
      <c r="K22" s="63"/>
      <c r="L22" s="63"/>
    </row>
    <row r="23" spans="3:12" ht="18" customHeight="1">
      <c r="C23" s="1"/>
      <c r="D23" s="1"/>
      <c r="F23" s="1"/>
      <c r="I23" s="1"/>
      <c r="J23" s="1"/>
      <c r="K23" s="64" t="s">
        <v>36</v>
      </c>
      <c r="L23" s="64"/>
    </row>
    <row r="24" spans="3:12">
      <c r="C24" s="1"/>
      <c r="D24" s="1"/>
      <c r="F24" s="1"/>
      <c r="I24" s="1"/>
      <c r="J24" s="1"/>
      <c r="K24" s="64"/>
      <c r="L24" s="64"/>
    </row>
    <row r="25" spans="3:12">
      <c r="C25" s="1"/>
      <c r="D25" s="1"/>
      <c r="F25" s="1"/>
      <c r="I25" s="1"/>
      <c r="J25" s="1"/>
      <c r="K25" s="64"/>
      <c r="L25" s="64"/>
    </row>
    <row r="26" spans="3:12">
      <c r="C26" s="1"/>
      <c r="D26" s="1"/>
      <c r="F26" s="1"/>
      <c r="I26" s="1"/>
      <c r="J26" s="1"/>
      <c r="K26" s="64"/>
      <c r="L26" s="64"/>
    </row>
  </sheetData>
  <mergeCells count="21">
    <mergeCell ref="J13:J14"/>
    <mergeCell ref="K13:K14"/>
    <mergeCell ref="L13:L14"/>
    <mergeCell ref="K21:L22"/>
    <mergeCell ref="K23:L26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view="pageBreakPreview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22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 ht="18.600000000000001" thickBot="1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0" t="s">
        <v>18</v>
      </c>
      <c r="D7" s="36">
        <f>G17*0.1</f>
        <v>100</v>
      </c>
      <c r="F7" s="45" t="s">
        <v>3</v>
      </c>
      <c r="G7" s="34">
        <v>200</v>
      </c>
      <c r="I7" s="19" t="s">
        <v>8</v>
      </c>
      <c r="J7" s="20">
        <v>0</v>
      </c>
      <c r="K7" s="24"/>
      <c r="L7" s="24"/>
    </row>
    <row r="8" spans="1:12" ht="18.600000000000001" thickBot="1">
      <c r="C8" s="4"/>
      <c r="D8" s="6"/>
      <c r="F8" s="46"/>
      <c r="G8" s="34"/>
      <c r="I8" s="26" t="s">
        <v>16</v>
      </c>
      <c r="J8" s="27">
        <v>1000</v>
      </c>
      <c r="K8" s="25" t="s">
        <v>31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100</v>
      </c>
      <c r="I9" s="17" t="s">
        <v>9</v>
      </c>
      <c r="J9" s="37">
        <v>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200</v>
      </c>
      <c r="I10" s="8" t="s">
        <v>14</v>
      </c>
      <c r="J10" s="28">
        <f>SUM(J7:J9)</f>
        <v>1000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500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20">
        <v>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22">
        <v>0</v>
      </c>
      <c r="L16" s="21"/>
    </row>
    <row r="17" spans="3:12">
      <c r="C17" s="3" t="s">
        <v>19</v>
      </c>
      <c r="D17" s="35">
        <f>SUM(D7:D16)</f>
        <v>900</v>
      </c>
      <c r="E17" s="15"/>
      <c r="F17" s="3" t="s">
        <v>16</v>
      </c>
      <c r="G17" s="35">
        <f>SUM(G7:G16)</f>
        <v>1000</v>
      </c>
      <c r="I17" s="21" t="s">
        <v>0</v>
      </c>
      <c r="J17" s="22">
        <v>500</v>
      </c>
      <c r="K17" s="22">
        <v>0</v>
      </c>
      <c r="L17" s="21"/>
    </row>
    <row r="18" spans="3:12">
      <c r="I18" s="17" t="s">
        <v>18</v>
      </c>
      <c r="J18" s="18">
        <v>100</v>
      </c>
      <c r="K18" s="18">
        <v>0</v>
      </c>
      <c r="L18" s="17"/>
    </row>
    <row r="19" spans="3:12">
      <c r="I19" s="8" t="s">
        <v>17</v>
      </c>
      <c r="J19" s="28">
        <f>SUM(J15:J18)</f>
        <v>900</v>
      </c>
      <c r="K19" s="9">
        <f>SUM(K15:K18)</f>
        <v>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100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K10:L10"/>
    <mergeCell ref="C12:C16"/>
    <mergeCell ref="F12:F16"/>
    <mergeCell ref="G7:G8"/>
    <mergeCell ref="G10:G11"/>
    <mergeCell ref="G12:G16"/>
    <mergeCell ref="D10:D11"/>
    <mergeCell ref="D12:D16"/>
    <mergeCell ref="L13:L14"/>
    <mergeCell ref="K8:L8"/>
    <mergeCell ref="K7:L7"/>
    <mergeCell ref="C10:C11"/>
    <mergeCell ref="F10:F11"/>
    <mergeCell ref="F7:F8"/>
    <mergeCell ref="K6:L6"/>
    <mergeCell ref="K9:L9"/>
    <mergeCell ref="K13:K14"/>
    <mergeCell ref="I13:I14"/>
    <mergeCell ref="J13:J14"/>
  </mergeCells>
  <phoneticPr fontId="2"/>
  <pageMargins left="0.7" right="0.7" top="0.75" bottom="0.75" header="0.3" footer="0.3"/>
  <pageSetup paperSize="9" scale="9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4AB1-C122-4F03-95BF-295D6B035484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24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 ht="18.600000000000001" thickBot="1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8"/>
      <c r="D7" s="49"/>
      <c r="F7" s="45" t="s">
        <v>3</v>
      </c>
      <c r="G7" s="34">
        <v>200</v>
      </c>
      <c r="I7" s="19" t="s">
        <v>8</v>
      </c>
      <c r="J7" s="20">
        <v>0</v>
      </c>
      <c r="K7" s="24"/>
      <c r="L7" s="24"/>
    </row>
    <row r="8" spans="1:12" ht="18.600000000000001" thickBot="1">
      <c r="C8" s="47"/>
      <c r="D8" s="6"/>
      <c r="F8" s="46"/>
      <c r="G8" s="34"/>
      <c r="I8" s="26" t="s">
        <v>16</v>
      </c>
      <c r="J8" s="27">
        <v>1000</v>
      </c>
      <c r="K8" s="25" t="s">
        <v>31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100</v>
      </c>
      <c r="I9" s="17" t="s">
        <v>9</v>
      </c>
      <c r="J9" s="37">
        <v>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200</v>
      </c>
      <c r="I10" s="8" t="s">
        <v>14</v>
      </c>
      <c r="J10" s="28">
        <f>SUM(J7:J9)</f>
        <v>1000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500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20">
        <v>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22">
        <v>0</v>
      </c>
      <c r="L16" s="21"/>
    </row>
    <row r="17" spans="3:12">
      <c r="C17" s="3" t="s">
        <v>19</v>
      </c>
      <c r="D17" s="35">
        <f>SUM(D7:D16)</f>
        <v>800</v>
      </c>
      <c r="E17" s="15"/>
      <c r="F17" s="3" t="s">
        <v>16</v>
      </c>
      <c r="G17" s="35">
        <f>SUM(G7:G16)</f>
        <v>1000</v>
      </c>
      <c r="I17" s="21" t="s">
        <v>0</v>
      </c>
      <c r="J17" s="22">
        <v>500</v>
      </c>
      <c r="K17" s="22">
        <v>0</v>
      </c>
      <c r="L17" s="21"/>
    </row>
    <row r="18" spans="3:12">
      <c r="I18" s="17" t="s">
        <v>18</v>
      </c>
      <c r="J18" s="18">
        <v>0</v>
      </c>
      <c r="K18" s="18">
        <v>0</v>
      </c>
      <c r="L18" s="17"/>
    </row>
    <row r="19" spans="3:12">
      <c r="I19" s="8" t="s">
        <v>17</v>
      </c>
      <c r="J19" s="28">
        <f>SUM(J15:J18)</f>
        <v>800</v>
      </c>
      <c r="K19" s="9">
        <f>SUM(K15:K18)</f>
        <v>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200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2CBC-357C-40B2-957E-2AE366B80653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23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0" t="s">
        <v>18</v>
      </c>
      <c r="D7" s="36">
        <f>G17*0.1</f>
        <v>80</v>
      </c>
      <c r="F7" s="30"/>
      <c r="G7" s="32"/>
      <c r="I7" s="19" t="s">
        <v>8</v>
      </c>
      <c r="J7" s="20">
        <v>0</v>
      </c>
      <c r="K7" s="24"/>
      <c r="L7" s="24"/>
    </row>
    <row r="8" spans="1:12" ht="18.600000000000001" thickBot="1">
      <c r="C8" s="4"/>
      <c r="D8" s="6"/>
      <c r="F8" s="31"/>
      <c r="G8" s="32"/>
      <c r="I8" s="26" t="s">
        <v>16</v>
      </c>
      <c r="J8" s="27">
        <v>800</v>
      </c>
      <c r="K8" s="25" t="s">
        <v>30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100</v>
      </c>
      <c r="I9" s="17" t="s">
        <v>9</v>
      </c>
      <c r="J9" s="37">
        <v>80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200</v>
      </c>
      <c r="I10" s="8" t="s">
        <v>14</v>
      </c>
      <c r="J10" s="28">
        <f>SUM(J7:J9)</f>
        <v>880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500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20">
        <v>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22">
        <v>0</v>
      </c>
      <c r="L16" s="21"/>
    </row>
    <row r="17" spans="3:12">
      <c r="C17" s="3" t="s">
        <v>19</v>
      </c>
      <c r="D17" s="35">
        <f>SUM(D7:D16)</f>
        <v>880</v>
      </c>
      <c r="E17" s="15"/>
      <c r="F17" s="3" t="s">
        <v>16</v>
      </c>
      <c r="G17" s="35">
        <f>SUM(G9:G16)</f>
        <v>800</v>
      </c>
      <c r="I17" s="21" t="s">
        <v>0</v>
      </c>
      <c r="J17" s="22">
        <v>500</v>
      </c>
      <c r="K17" s="22">
        <v>0</v>
      </c>
      <c r="L17" s="21"/>
    </row>
    <row r="18" spans="3:12">
      <c r="I18" s="17" t="s">
        <v>18</v>
      </c>
      <c r="J18" s="18">
        <v>80</v>
      </c>
      <c r="K18" s="37">
        <v>80</v>
      </c>
      <c r="L18" s="17"/>
    </row>
    <row r="19" spans="3:12">
      <c r="I19" s="8" t="s">
        <v>17</v>
      </c>
      <c r="J19" s="28">
        <f>SUM(J15:J18)</f>
        <v>880</v>
      </c>
      <c r="K19" s="54">
        <f>SUM(K15:K18)</f>
        <v>80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7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C774-D8D0-4F4A-9AA4-48C0A764F2DA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25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8"/>
      <c r="D7" s="49"/>
      <c r="F7" s="52"/>
      <c r="G7" s="51"/>
      <c r="I7" s="19" t="s">
        <v>8</v>
      </c>
      <c r="J7" s="20">
        <v>0</v>
      </c>
      <c r="K7" s="24"/>
      <c r="L7" s="24"/>
    </row>
    <row r="8" spans="1:12" ht="18.600000000000001" thickBot="1">
      <c r="C8" s="50"/>
      <c r="D8" s="6"/>
      <c r="F8" s="53"/>
      <c r="G8" s="51"/>
      <c r="I8" s="26" t="s">
        <v>16</v>
      </c>
      <c r="J8" s="27">
        <v>800</v>
      </c>
      <c r="K8" s="25" t="s">
        <v>30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100</v>
      </c>
      <c r="I9" s="17" t="s">
        <v>9</v>
      </c>
      <c r="J9" s="37">
        <v>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200</v>
      </c>
      <c r="I10" s="8" t="s">
        <v>14</v>
      </c>
      <c r="J10" s="28">
        <f>SUM(J7:J9)</f>
        <v>800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500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20">
        <v>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22">
        <v>0</v>
      </c>
      <c r="L16" s="21"/>
    </row>
    <row r="17" spans="3:12">
      <c r="C17" s="3" t="s">
        <v>19</v>
      </c>
      <c r="D17" s="35">
        <f>SUM(D7:D16)</f>
        <v>800</v>
      </c>
      <c r="E17" s="15"/>
      <c r="F17" s="3" t="s">
        <v>16</v>
      </c>
      <c r="G17" s="35">
        <f>SUM(G7:G16)</f>
        <v>800</v>
      </c>
      <c r="I17" s="21" t="s">
        <v>0</v>
      </c>
      <c r="J17" s="22">
        <v>500</v>
      </c>
      <c r="K17" s="22">
        <v>0</v>
      </c>
      <c r="L17" s="21"/>
    </row>
    <row r="18" spans="3:12">
      <c r="I18" s="17" t="s">
        <v>18</v>
      </c>
      <c r="J18" s="18">
        <v>0</v>
      </c>
      <c r="K18" s="18">
        <v>0</v>
      </c>
      <c r="L18" s="17"/>
    </row>
    <row r="19" spans="3:12">
      <c r="I19" s="8" t="s">
        <v>17</v>
      </c>
      <c r="J19" s="28">
        <f>SUM(J15:J18)</f>
        <v>800</v>
      </c>
      <c r="K19" s="9">
        <f>SUM(K15:K18)</f>
        <v>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36BC-CDC4-4080-B5CE-3D3FD17C0F02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26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 ht="18.600000000000001" thickBot="1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0" t="s">
        <v>18</v>
      </c>
      <c r="D7" s="36">
        <f>G17*0.1</f>
        <v>50</v>
      </c>
      <c r="F7" s="45" t="s">
        <v>3</v>
      </c>
      <c r="G7" s="34">
        <v>100</v>
      </c>
      <c r="I7" s="19" t="s">
        <v>8</v>
      </c>
      <c r="J7" s="20">
        <v>0</v>
      </c>
      <c r="K7" s="24"/>
      <c r="L7" s="24"/>
    </row>
    <row r="8" spans="1:12" ht="18.600000000000001" thickBot="1">
      <c r="C8" s="4"/>
      <c r="D8" s="6"/>
      <c r="F8" s="46"/>
      <c r="G8" s="34"/>
      <c r="I8" s="26" t="s">
        <v>16</v>
      </c>
      <c r="J8" s="27">
        <v>500</v>
      </c>
      <c r="K8" s="25" t="s">
        <v>32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50</v>
      </c>
      <c r="I9" s="17" t="s">
        <v>9</v>
      </c>
      <c r="J9" s="37">
        <v>350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100</v>
      </c>
      <c r="I10" s="8" t="s">
        <v>14</v>
      </c>
      <c r="J10" s="28">
        <f>SUM(J7:J9)</f>
        <v>850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250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55">
        <v>100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56">
        <v>100</v>
      </c>
      <c r="L16" s="21"/>
    </row>
    <row r="17" spans="3:12">
      <c r="C17" s="3" t="s">
        <v>19</v>
      </c>
      <c r="D17" s="35">
        <f>SUM(D7:D16)</f>
        <v>850</v>
      </c>
      <c r="E17" s="15"/>
      <c r="F17" s="3" t="s">
        <v>16</v>
      </c>
      <c r="G17" s="35">
        <f>SUM(G7:G16)</f>
        <v>500</v>
      </c>
      <c r="I17" s="21" t="s">
        <v>0</v>
      </c>
      <c r="J17" s="22">
        <v>500</v>
      </c>
      <c r="K17" s="56">
        <v>100</v>
      </c>
      <c r="L17" s="21"/>
    </row>
    <row r="18" spans="3:12">
      <c r="I18" s="17" t="s">
        <v>18</v>
      </c>
      <c r="J18" s="18">
        <v>50</v>
      </c>
      <c r="K18" s="37">
        <v>50</v>
      </c>
      <c r="L18" s="17"/>
    </row>
    <row r="19" spans="3:12">
      <c r="I19" s="8" t="s">
        <v>17</v>
      </c>
      <c r="J19" s="28">
        <f>SUM(J15:J18)</f>
        <v>850</v>
      </c>
      <c r="K19" s="54">
        <f>SUM(K15:K18)</f>
        <v>350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27F0-DCFE-445B-B63A-7E88CBCA8A70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27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 ht="18.600000000000001" thickBot="1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8"/>
      <c r="D7" s="49"/>
      <c r="F7" s="45" t="s">
        <v>3</v>
      </c>
      <c r="G7" s="34">
        <v>100</v>
      </c>
      <c r="I7" s="19" t="s">
        <v>8</v>
      </c>
      <c r="J7" s="20">
        <v>0</v>
      </c>
      <c r="K7" s="24"/>
      <c r="L7" s="24"/>
    </row>
    <row r="8" spans="1:12" ht="18.600000000000001" thickBot="1">
      <c r="C8" s="47"/>
      <c r="D8" s="6"/>
      <c r="F8" s="46"/>
      <c r="G8" s="34"/>
      <c r="I8" s="26" t="s">
        <v>16</v>
      </c>
      <c r="J8" s="27">
        <v>500</v>
      </c>
      <c r="K8" s="25" t="s">
        <v>32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50</v>
      </c>
      <c r="I9" s="17" t="s">
        <v>9</v>
      </c>
      <c r="J9" s="37">
        <v>300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100</v>
      </c>
      <c r="I10" s="8" t="s">
        <v>14</v>
      </c>
      <c r="J10" s="28">
        <f>SUM(J7:J9)</f>
        <v>800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250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55">
        <v>100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56">
        <v>100</v>
      </c>
      <c r="L16" s="21"/>
    </row>
    <row r="17" spans="3:12">
      <c r="C17" s="3" t="s">
        <v>19</v>
      </c>
      <c r="D17" s="35">
        <f>SUM(D7:D16)</f>
        <v>800</v>
      </c>
      <c r="E17" s="15"/>
      <c r="F17" s="3" t="s">
        <v>16</v>
      </c>
      <c r="G17" s="35">
        <f>SUM(G7:G16)</f>
        <v>500</v>
      </c>
      <c r="I17" s="21" t="s">
        <v>0</v>
      </c>
      <c r="J17" s="22">
        <v>500</v>
      </c>
      <c r="K17" s="56">
        <v>100</v>
      </c>
      <c r="L17" s="21"/>
    </row>
    <row r="18" spans="3:12">
      <c r="I18" s="17" t="s">
        <v>18</v>
      </c>
      <c r="J18" s="18">
        <v>0</v>
      </c>
      <c r="K18" s="37">
        <v>0</v>
      </c>
      <c r="L18" s="17"/>
    </row>
    <row r="19" spans="3:12">
      <c r="I19" s="8" t="s">
        <v>17</v>
      </c>
      <c r="J19" s="28">
        <f>SUM(J15:J18)</f>
        <v>800</v>
      </c>
      <c r="K19" s="54">
        <f>SUM(K15:K18)</f>
        <v>300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6DAF-0E04-46EE-8AB7-7FDC6432DE9E}">
  <sheetPr>
    <pageSetUpPr fitToPage="1"/>
  </sheetPr>
  <dimension ref="A1:L26"/>
  <sheetViews>
    <sheetView view="pageBreakPreview" topLeftCell="A3" zoomScale="90" zoomScaleNormal="10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28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0" t="s">
        <v>18</v>
      </c>
      <c r="D7" s="36">
        <f>G17*0.1</f>
        <v>40</v>
      </c>
      <c r="F7" s="30"/>
      <c r="G7" s="32"/>
      <c r="I7" s="19" t="s">
        <v>8</v>
      </c>
      <c r="J7" s="20">
        <v>0</v>
      </c>
      <c r="K7" s="24"/>
      <c r="L7" s="24"/>
    </row>
    <row r="8" spans="1:12" ht="18.600000000000001" thickBot="1">
      <c r="C8" s="4"/>
      <c r="D8" s="6"/>
      <c r="F8" s="31"/>
      <c r="G8" s="32"/>
      <c r="I8" s="26" t="s">
        <v>16</v>
      </c>
      <c r="J8" s="27">
        <v>400</v>
      </c>
      <c r="K8" s="25" t="s">
        <v>33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50</v>
      </c>
      <c r="I9" s="17" t="s">
        <v>9</v>
      </c>
      <c r="J9" s="37">
        <v>440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100</v>
      </c>
      <c r="I10" s="8" t="s">
        <v>14</v>
      </c>
      <c r="J10" s="28">
        <f>SUM(J7:J9)</f>
        <v>840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250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55">
        <v>100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56">
        <v>200</v>
      </c>
      <c r="L16" s="21"/>
    </row>
    <row r="17" spans="3:12">
      <c r="C17" s="3" t="s">
        <v>19</v>
      </c>
      <c r="D17" s="35">
        <f>SUM(D7:D16)</f>
        <v>840</v>
      </c>
      <c r="E17" s="15"/>
      <c r="F17" s="3" t="s">
        <v>16</v>
      </c>
      <c r="G17" s="35">
        <f>SUM(G9:G16)</f>
        <v>400</v>
      </c>
      <c r="I17" s="21" t="s">
        <v>0</v>
      </c>
      <c r="J17" s="22">
        <v>500</v>
      </c>
      <c r="K17" s="56">
        <v>100</v>
      </c>
      <c r="L17" s="21"/>
    </row>
    <row r="18" spans="3:12">
      <c r="I18" s="17" t="s">
        <v>18</v>
      </c>
      <c r="J18" s="18">
        <v>40</v>
      </c>
      <c r="K18" s="37">
        <v>40</v>
      </c>
      <c r="L18" s="17"/>
    </row>
    <row r="19" spans="3:12">
      <c r="I19" s="8" t="s">
        <v>17</v>
      </c>
      <c r="J19" s="28">
        <f>SUM(J15:J18)</f>
        <v>840</v>
      </c>
      <c r="K19" s="54">
        <f>SUM(K15:K18)</f>
        <v>440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7">
    <mergeCell ref="K13:K14"/>
    <mergeCell ref="L13:L14"/>
    <mergeCell ref="C12:C16"/>
    <mergeCell ref="D12:D16"/>
    <mergeCell ref="F12:F16"/>
    <mergeCell ref="G12:G16"/>
    <mergeCell ref="I13:I14"/>
    <mergeCell ref="J13:J14"/>
    <mergeCell ref="K6:L6"/>
    <mergeCell ref="K7:L7"/>
    <mergeCell ref="K8:L8"/>
    <mergeCell ref="K9:L9"/>
    <mergeCell ref="C10:C11"/>
    <mergeCell ref="D10:D11"/>
    <mergeCell ref="F10:F11"/>
    <mergeCell ref="G10:G11"/>
    <mergeCell ref="K10:L10"/>
  </mergeCells>
  <phoneticPr fontId="2"/>
  <pageMargins left="0.7" right="0.7" top="0.75" bottom="0.75" header="0.3" footer="0.3"/>
  <pageSetup paperSize="9" scale="93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85B0-74C7-4E03-9F97-D6BA86150B74}">
  <sheetPr>
    <pageSetUpPr fitToPage="1"/>
  </sheetPr>
  <dimension ref="A1:L26"/>
  <sheetViews>
    <sheetView view="pageBreakPreview" topLeftCell="A3" zoomScale="90" zoomScaleNormal="90" zoomScaleSheetLayoutView="90" workbookViewId="0">
      <selection activeCell="Q22" sqref="Q22"/>
    </sheetView>
  </sheetViews>
  <sheetFormatPr defaultRowHeight="18"/>
  <cols>
    <col min="1" max="2" width="3.09765625" style="1" customWidth="1"/>
    <col min="3" max="3" width="10.69921875" style="3" customWidth="1"/>
    <col min="4" max="4" width="6.69921875" style="5" customWidth="1"/>
    <col min="5" max="5" width="4.69921875" style="1" customWidth="1"/>
    <col min="6" max="6" width="10.69921875" style="3" customWidth="1"/>
    <col min="7" max="7" width="6.69921875" style="1" customWidth="1"/>
    <col min="8" max="8" width="8.796875" style="1"/>
    <col min="9" max="9" width="16.69921875" style="2" customWidth="1"/>
    <col min="10" max="11" width="14.69921875" style="2" customWidth="1"/>
    <col min="12" max="12" width="28.69921875" style="2" customWidth="1"/>
    <col min="13" max="16384" width="8.796875" style="1"/>
  </cols>
  <sheetData>
    <row r="1" spans="1:12" ht="19.8">
      <c r="A1" s="14" t="s">
        <v>21</v>
      </c>
      <c r="B1" s="14"/>
    </row>
    <row r="3" spans="1:12">
      <c r="B3" s="2" t="s">
        <v>29</v>
      </c>
      <c r="C3" s="1"/>
      <c r="I3" s="1"/>
      <c r="J3" s="1"/>
      <c r="K3" s="1"/>
      <c r="L3" s="1"/>
    </row>
    <row r="4" spans="1:12">
      <c r="C4" s="1"/>
      <c r="D4" s="1"/>
      <c r="F4" s="1"/>
      <c r="I4" s="1"/>
      <c r="J4" s="1"/>
      <c r="K4" s="1"/>
      <c r="L4" s="1"/>
    </row>
    <row r="5" spans="1:12">
      <c r="C5" s="1"/>
      <c r="D5" s="1"/>
      <c r="F5" s="1"/>
      <c r="I5" s="2" t="s">
        <v>4</v>
      </c>
    </row>
    <row r="6" spans="1:12">
      <c r="C6" s="1"/>
      <c r="D6" s="1"/>
      <c r="F6" s="1"/>
      <c r="I6" s="12" t="s">
        <v>5</v>
      </c>
      <c r="J6" s="12" t="s">
        <v>6</v>
      </c>
      <c r="K6" s="10" t="s">
        <v>7</v>
      </c>
      <c r="L6" s="10"/>
    </row>
    <row r="7" spans="1:12">
      <c r="C7" s="48"/>
      <c r="D7" s="49"/>
      <c r="F7" s="52"/>
      <c r="G7" s="51"/>
      <c r="I7" s="19" t="s">
        <v>8</v>
      </c>
      <c r="J7" s="20">
        <v>0</v>
      </c>
      <c r="K7" s="24"/>
      <c r="L7" s="24"/>
    </row>
    <row r="8" spans="1:12" ht="18.600000000000001" thickBot="1">
      <c r="C8" s="50"/>
      <c r="D8" s="6"/>
      <c r="F8" s="53"/>
      <c r="G8" s="51"/>
      <c r="I8" s="26" t="s">
        <v>16</v>
      </c>
      <c r="J8" s="27">
        <v>400</v>
      </c>
      <c r="K8" s="25" t="s">
        <v>33</v>
      </c>
      <c r="L8" s="25"/>
    </row>
    <row r="9" spans="1:12">
      <c r="C9" s="41" t="s">
        <v>2</v>
      </c>
      <c r="D9" s="33">
        <v>100</v>
      </c>
      <c r="F9" s="42" t="s">
        <v>2</v>
      </c>
      <c r="G9" s="33">
        <v>50</v>
      </c>
      <c r="I9" s="17" t="s">
        <v>9</v>
      </c>
      <c r="J9" s="37">
        <v>400</v>
      </c>
      <c r="K9" s="23" t="s">
        <v>10</v>
      </c>
      <c r="L9" s="23"/>
    </row>
    <row r="10" spans="1:12">
      <c r="C10" s="43" t="s">
        <v>1</v>
      </c>
      <c r="D10" s="34">
        <v>200</v>
      </c>
      <c r="F10" s="43" t="s">
        <v>1</v>
      </c>
      <c r="G10" s="34">
        <v>100</v>
      </c>
      <c r="I10" s="8" t="s">
        <v>14</v>
      </c>
      <c r="J10" s="28">
        <f>SUM(J7:J9)</f>
        <v>800</v>
      </c>
      <c r="K10" s="7"/>
      <c r="L10" s="7"/>
    </row>
    <row r="11" spans="1:12">
      <c r="C11" s="44"/>
      <c r="D11" s="34"/>
      <c r="F11" s="44"/>
      <c r="G11" s="34"/>
      <c r="I11" s="1"/>
      <c r="J11" s="1"/>
      <c r="K11" s="1"/>
      <c r="L11" s="1"/>
    </row>
    <row r="12" spans="1:12">
      <c r="C12" s="38" t="s">
        <v>0</v>
      </c>
      <c r="D12" s="34">
        <v>500</v>
      </c>
      <c r="F12" s="38" t="s">
        <v>0</v>
      </c>
      <c r="G12" s="34">
        <v>250</v>
      </c>
      <c r="I12" s="2" t="s">
        <v>11</v>
      </c>
    </row>
    <row r="13" spans="1:12">
      <c r="C13" s="38"/>
      <c r="D13" s="34"/>
      <c r="F13" s="38"/>
      <c r="G13" s="34"/>
      <c r="I13" s="10" t="s">
        <v>12</v>
      </c>
      <c r="J13" s="10" t="s">
        <v>6</v>
      </c>
      <c r="K13" s="11" t="s">
        <v>13</v>
      </c>
      <c r="L13" s="10" t="s">
        <v>7</v>
      </c>
    </row>
    <row r="14" spans="1:12">
      <c r="C14" s="38"/>
      <c r="D14" s="34"/>
      <c r="F14" s="38"/>
      <c r="G14" s="34"/>
      <c r="I14" s="10"/>
      <c r="J14" s="10"/>
      <c r="K14" s="11"/>
      <c r="L14" s="10"/>
    </row>
    <row r="15" spans="1:12">
      <c r="C15" s="38"/>
      <c r="D15" s="34"/>
      <c r="F15" s="38"/>
      <c r="G15" s="34"/>
      <c r="I15" s="19" t="s">
        <v>2</v>
      </c>
      <c r="J15" s="20">
        <v>100</v>
      </c>
      <c r="K15" s="55">
        <v>100</v>
      </c>
      <c r="L15" s="19"/>
    </row>
    <row r="16" spans="1:12" ht="18.600000000000001" thickBot="1">
      <c r="B16" s="16"/>
      <c r="C16" s="39"/>
      <c r="D16" s="34"/>
      <c r="F16" s="39"/>
      <c r="G16" s="34"/>
      <c r="I16" s="21" t="s">
        <v>15</v>
      </c>
      <c r="J16" s="22">
        <v>200</v>
      </c>
      <c r="K16" s="56">
        <v>200</v>
      </c>
      <c r="L16" s="21"/>
    </row>
    <row r="17" spans="3:12">
      <c r="C17" s="3" t="s">
        <v>19</v>
      </c>
      <c r="D17" s="35">
        <f>SUM(D7:D16)</f>
        <v>800</v>
      </c>
      <c r="E17" s="15"/>
      <c r="F17" s="3" t="s">
        <v>16</v>
      </c>
      <c r="G17" s="35">
        <f>SUM(G7:G16)</f>
        <v>400</v>
      </c>
      <c r="I17" s="21" t="s">
        <v>0</v>
      </c>
      <c r="J17" s="22">
        <v>500</v>
      </c>
      <c r="K17" s="56">
        <v>100</v>
      </c>
      <c r="L17" s="21"/>
    </row>
    <row r="18" spans="3:12">
      <c r="I18" s="17" t="s">
        <v>18</v>
      </c>
      <c r="J18" s="18">
        <v>0</v>
      </c>
      <c r="K18" s="37">
        <v>0</v>
      </c>
      <c r="L18" s="17"/>
    </row>
    <row r="19" spans="3:12">
      <c r="I19" s="8" t="s">
        <v>17</v>
      </c>
      <c r="J19" s="28">
        <f>SUM(J15:J18)</f>
        <v>800</v>
      </c>
      <c r="K19" s="54">
        <f>SUM(K15:K18)</f>
        <v>400</v>
      </c>
      <c r="L19" s="8"/>
    </row>
    <row r="20" spans="3:12">
      <c r="C20" s="1"/>
      <c r="D20" s="1"/>
      <c r="F20" s="1"/>
    </row>
    <row r="21" spans="3:12">
      <c r="C21" s="1"/>
      <c r="D21" s="1"/>
      <c r="F21" s="1"/>
      <c r="I21" s="13" t="s">
        <v>20</v>
      </c>
      <c r="J21" s="29">
        <f>J10-J19</f>
        <v>0</v>
      </c>
    </row>
    <row r="22" spans="3:12">
      <c r="C22" s="1"/>
      <c r="D22" s="1"/>
      <c r="F22" s="1"/>
      <c r="I22" s="1"/>
      <c r="J22" s="1"/>
      <c r="K22" s="1"/>
      <c r="L22" s="1"/>
    </row>
    <row r="23" spans="3:12">
      <c r="C23" s="1"/>
      <c r="D23" s="1"/>
      <c r="F23" s="1"/>
      <c r="I23" s="1"/>
      <c r="J23" s="1"/>
      <c r="K23" s="1"/>
      <c r="L23" s="1"/>
    </row>
    <row r="24" spans="3:12">
      <c r="C24" s="1"/>
      <c r="D24" s="1"/>
      <c r="F24" s="1"/>
      <c r="I24" s="1"/>
      <c r="J24" s="1"/>
      <c r="K24" s="1"/>
      <c r="L24" s="1"/>
    </row>
    <row r="25" spans="3:12">
      <c r="C25" s="1"/>
      <c r="D25" s="1"/>
      <c r="F25" s="1"/>
      <c r="I25" s="1"/>
      <c r="J25" s="1"/>
      <c r="K25" s="1"/>
      <c r="L25" s="1"/>
    </row>
    <row r="26" spans="3:12">
      <c r="C26" s="1"/>
      <c r="D26" s="1"/>
      <c r="F26" s="1"/>
      <c r="I26" s="1"/>
      <c r="J26" s="1"/>
      <c r="K26" s="1"/>
      <c r="L26" s="1"/>
    </row>
  </sheetData>
  <mergeCells count="19">
    <mergeCell ref="J13:J14"/>
    <mergeCell ref="K13:K14"/>
    <mergeCell ref="L13:L14"/>
    <mergeCell ref="C10:C11"/>
    <mergeCell ref="D10:D11"/>
    <mergeCell ref="F10:F11"/>
    <mergeCell ref="G10:G11"/>
    <mergeCell ref="K10:L10"/>
    <mergeCell ref="C12:C16"/>
    <mergeCell ref="D12:D16"/>
    <mergeCell ref="F12:F16"/>
    <mergeCell ref="G12:G16"/>
    <mergeCell ref="I13:I14"/>
    <mergeCell ref="K6:L6"/>
    <mergeCell ref="F7:F8"/>
    <mergeCell ref="G7:G8"/>
    <mergeCell ref="K7:L7"/>
    <mergeCell ref="K8:L8"/>
    <mergeCell ref="K9:L9"/>
  </mergeCells>
  <phoneticPr fontId="2"/>
  <pageMargins left="0.7" right="0.7" top="0.75" bottom="0.75" header="0.3" footer="0.3"/>
  <pageSetup paperSize="9"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認められないケース</vt:lpstr>
      <vt:lpstr>ケース１</vt:lpstr>
      <vt:lpstr>ケース２</vt:lpstr>
      <vt:lpstr>ケース３</vt:lpstr>
      <vt:lpstr>ケース４</vt:lpstr>
      <vt:lpstr>ケース５</vt:lpstr>
      <vt:lpstr>ケース６</vt:lpstr>
      <vt:lpstr>ケース７</vt:lpstr>
      <vt:lpstr>ケース８</vt:lpstr>
      <vt:lpstr>認められないケース!Print_Area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平賀　貴志</dc:creator>
  <cp:lastModifiedBy>平賀　貴志</cp:lastModifiedBy>
  <cp:lastPrinted>2025-08-22T02:41:27Z</cp:lastPrinted>
  <dcterms:created xsi:type="dcterms:W3CDTF">2015-06-05T18:19:34Z</dcterms:created>
  <dcterms:modified xsi:type="dcterms:W3CDTF">2025-08-22T04:43:48Z</dcterms:modified>
</cp:coreProperties>
</file>