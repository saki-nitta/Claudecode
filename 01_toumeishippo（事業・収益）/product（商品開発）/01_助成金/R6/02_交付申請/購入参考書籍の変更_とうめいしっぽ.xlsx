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仕事\1.とうめいしっぽ\2-3 玩具企画\1.助成金\R6盛岡市森林づかいイノベーション事業\林政課　終了\交付申請書類\"/>
    </mc:Choice>
  </mc:AlternateContent>
  <xr:revisionPtr revIDLastSave="0" documentId="13_ncr:1_{720CB997-10FB-4B55-87F6-787850FEEB80}" xr6:coauthVersionLast="47" xr6:coauthVersionMax="47" xr10:uidLastSave="{00000000-0000-0000-0000-000000000000}"/>
  <bookViews>
    <workbookView xWindow="20" yWindow="1970" windowWidth="9090" windowHeight="7270" xr2:uid="{F2A1FDDC-6C81-4097-861E-EB8D99A1ED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1" l="1"/>
  <c r="C25" i="1"/>
  <c r="C31" i="1"/>
  <c r="C15" i="1"/>
  <c r="C32" i="1" s="1"/>
  <c r="C33" i="1" l="1"/>
  <c r="C34" i="1"/>
</calcChain>
</file>

<file path=xl/sharedStrings.xml><?xml version="1.0" encoding="utf-8"?>
<sst xmlns="http://schemas.openxmlformats.org/spreadsheetml/2006/main" count="34" uniqueCount="34">
  <si>
    <t>申請時から削除するものは【削除】、追加するものは【追加】と記載しています。</t>
    <rPh sb="0" eb="3">
      <t>シンセイジ</t>
    </rPh>
    <rPh sb="5" eb="7">
      <t>サクジョ</t>
    </rPh>
    <rPh sb="13" eb="15">
      <t>サクジョ</t>
    </rPh>
    <rPh sb="17" eb="19">
      <t>ツイカ</t>
    </rPh>
    <rPh sb="25" eb="27">
      <t>ツイカ</t>
    </rPh>
    <rPh sb="29" eb="31">
      <t>キサイ</t>
    </rPh>
    <phoneticPr fontId="1"/>
  </si>
  <si>
    <t>削除</t>
    <rPh sb="0" eb="2">
      <t>サクジョ</t>
    </rPh>
    <phoneticPr fontId="1"/>
  </si>
  <si>
    <t>追加</t>
    <rPh sb="0" eb="2">
      <t>ツイカ</t>
    </rPh>
    <phoneticPr fontId="1"/>
  </si>
  <si>
    <t>有職文様図鑑 (223;223) (コロナ・ブックス 223)</t>
  </si>
  <si>
    <t>日本の文様〈第2集〉 刺繍図案に見る古典装飾のすべて（Traditional Japanese Patterns: Hand Embroidery Patterns Ⅱ） (青幻舎ビジュアル文庫シリーズ)</t>
  </si>
  <si>
    <t>Communicating with Pattern: Circles and Dots</t>
  </si>
  <si>
    <t>A</t>
    <phoneticPr fontId="1"/>
  </si>
  <si>
    <t>B</t>
    <phoneticPr fontId="1"/>
  </si>
  <si>
    <t>C</t>
    <phoneticPr fontId="1"/>
  </si>
  <si>
    <t>A+B</t>
    <phoneticPr fontId="1"/>
  </si>
  <si>
    <t>A+C</t>
    <phoneticPr fontId="1"/>
  </si>
  <si>
    <t>B-C</t>
    <phoneticPr fontId="1"/>
  </si>
  <si>
    <t>種類・特徴から材質・用途までわかる樹木と木材の図鑑</t>
    <phoneticPr fontId="1"/>
  </si>
  <si>
    <t>日本人のためのクラウドファンディング入門 (フォレスト2545新書)</t>
    <phoneticPr fontId="1"/>
  </si>
  <si>
    <t>日本の文様〈第1集〉 刺繍図案に見る古典装飾のすべて（Traditional Japanese Patterns: Hand Embroidery Patterns Ⅰ） (青幻舎ビジュアル文庫シリーズ)</t>
    <phoneticPr fontId="1"/>
  </si>
  <si>
    <t>成功するクラウドファンディング</t>
    <phoneticPr fontId="1"/>
  </si>
  <si>
    <t>物販×クラウドファンディング 実践大全―けた違いに儲かる先端技法が1冊でわかる</t>
    <phoneticPr fontId="1"/>
  </si>
  <si>
    <t>新版・原色 木材大事典200種: 日本で手に入る木材の基礎知識を網羅した決定版</t>
    <phoneticPr fontId="1"/>
  </si>
  <si>
    <t>世界で一番くわしい木材 最新版</t>
    <phoneticPr fontId="1"/>
  </si>
  <si>
    <t>板目・柾目・木口がわかる木の図鑑: 日本の有用種101</t>
    <phoneticPr fontId="1"/>
  </si>
  <si>
    <t>木育のすすめ</t>
    <phoneticPr fontId="1"/>
  </si>
  <si>
    <t>世界装飾文様図鑑 | DECORA - ORNAMENTAL MOTIFS OF THE WORLD</t>
    <phoneticPr fontId="1"/>
  </si>
  <si>
    <t>こども文様ずかん</t>
    <phoneticPr fontId="1"/>
  </si>
  <si>
    <t>わからない彫刻 つくる編 (彫刻の教科書 1)</t>
    <phoneticPr fontId="1"/>
  </si>
  <si>
    <t>シドロモドロ工作所のはじめてのお彫刻教室</t>
    <phoneticPr fontId="1"/>
  </si>
  <si>
    <t>ジャパン モチーフ グラフィックス</t>
    <phoneticPr fontId="1"/>
  </si>
  <si>
    <t>クラウドファンディングで資金調達に成功するコレだけ! 技</t>
    <phoneticPr fontId="1"/>
  </si>
  <si>
    <t>子どもを育む木製玩具のデザイン論 (桜美林大学叢書 9)</t>
    <phoneticPr fontId="1"/>
  </si>
  <si>
    <t>木育の本 木とふれあい、木に学び、木と生きる。</t>
    <phoneticPr fontId="1"/>
  </si>
  <si>
    <t xml:space="preserve">子どもの遊びを考える: 「いいこと思いついた!」から見えてくること子どもの遊びを考える: 「いいこと思いついた!」から見え… 新しいタブで開く </t>
    <phoneticPr fontId="1"/>
  </si>
  <si>
    <t xml:space="preserve">森林親和運動としての木育 ―ものづくりの復権と森林化社会の実現 </t>
  </si>
  <si>
    <t>購入希望の参考書籍　一覧</t>
    <rPh sb="0" eb="2">
      <t>コウニュウ</t>
    </rPh>
    <rPh sb="2" eb="4">
      <t>キボウ</t>
    </rPh>
    <rPh sb="5" eb="9">
      <t>サンコウショセキ</t>
    </rPh>
    <rPh sb="10" eb="12">
      <t>イチラン</t>
    </rPh>
    <phoneticPr fontId="1"/>
  </si>
  <si>
    <t>プラス送料500円</t>
    <phoneticPr fontId="1"/>
  </si>
  <si>
    <t>獲得ポイント</t>
    <rPh sb="0" eb="2">
      <t>カクトク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</si>
</sst>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0"/>
      <color rgb="FF0F1111"/>
      <name val="游ゴシック Light"/>
      <family val="3"/>
      <charset val="128"/>
      <scheme val="major"/>
    </font>
    <font>
      <b/>
      <sz val="10"/>
      <color theme="1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0" borderId="0" xfId="1">
      <alignment vertical="center"/>
    </xf>
    <xf numFmtId="0" fontId="2" fillId="0" borderId="0" xfId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6" fontId="3" fillId="0" borderId="0" xfId="0" applyNumberFormat="1" applyFont="1">
      <alignment vertical="center"/>
    </xf>
    <xf numFmtId="0" fontId="4" fillId="0" borderId="0" xfId="0" applyFont="1">
      <alignment vertical="center"/>
    </xf>
    <xf numFmtId="6" fontId="4" fillId="0" borderId="0" xfId="0" applyNumberFormat="1" applyFont="1">
      <alignment vertical="center"/>
    </xf>
    <xf numFmtId="0" fontId="0" fillId="2" borderId="0" xfId="0" applyFill="1" applyAlignment="1">
      <alignment horizontal="center" vertical="center"/>
    </xf>
    <xf numFmtId="6" fontId="4" fillId="2" borderId="0" xfId="0" applyNumberFormat="1" applyFont="1" applyFill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.jp/gp/product/4866671114/ref=ox_sc_act_title_12?smid=AN1VRQENFRJN5&amp;psc=1" TargetMode="External"/><Relationship Id="rId13" Type="http://schemas.openxmlformats.org/officeDocument/2006/relationships/hyperlink" Target="https://www.amazon.co.jp/gp/product/4416620160/ref=ox_sc_act_title_17?smid=AN1VRQENFRJN5&amp;psc=1" TargetMode="External"/><Relationship Id="rId18" Type="http://schemas.openxmlformats.org/officeDocument/2006/relationships/hyperlink" Target="https://www.amazon.co.jp/dp/3283005362/?ref_=cm_wl_huc_item" TargetMode="External"/><Relationship Id="rId3" Type="http://schemas.openxmlformats.org/officeDocument/2006/relationships/hyperlink" Target="https://www.amazon.co.jp/gp/product/4309292844/ref=ox_sc_act_title_5?smid=AN1VRQENFRJN5&amp;psc=1" TargetMode="External"/><Relationship Id="rId21" Type="http://schemas.openxmlformats.org/officeDocument/2006/relationships/hyperlink" Target="https://www.amazon.co.jp/gp/product/4762832294/ref=ox_sc_act_title_1?smid=AN1VRQENFRJN5&amp;psc=1" TargetMode="External"/><Relationship Id="rId7" Type="http://schemas.openxmlformats.org/officeDocument/2006/relationships/hyperlink" Target="https://www.amazon.co.jp/gp/product/4297132087/ref=ox_sc_act_title_11?smid=AN1VRQENFRJN5&amp;psc=1" TargetMode="External"/><Relationship Id="rId12" Type="http://schemas.openxmlformats.org/officeDocument/2006/relationships/hyperlink" Target="https://www.amazon.co.jp/gp/product/4767829992/ref=ox_sc_act_title_16?smid=AN1VRQENFRJN5&amp;psc=1" TargetMode="External"/><Relationship Id="rId17" Type="http://schemas.openxmlformats.org/officeDocument/2006/relationships/hyperlink" Target="https://www.amazon.co.jp/dp/4582635229/?ref_=cm_wl_huc_item" TargetMode="External"/><Relationship Id="rId2" Type="http://schemas.openxmlformats.org/officeDocument/2006/relationships/hyperlink" Target="https://www.amazon.co.jp/gp/product/4864631565/ref=ox_sc_act_title_4?smid=AN1VRQENFRJN5&amp;psc=1" TargetMode="External"/><Relationship Id="rId16" Type="http://schemas.openxmlformats.org/officeDocument/2006/relationships/hyperlink" Target="https://www.amazon.co.jp/gp/product/4846020819/ref=ox_sc_act_title_2?smid=AN1VRQENFRJN5&amp;psc=1" TargetMode="External"/><Relationship Id="rId20" Type="http://schemas.openxmlformats.org/officeDocument/2006/relationships/hyperlink" Target="https://www.amazon.co.jp/gp/product/4894534746/ref=ox_sc_act_title_2?smid=A36BFK4VOV6N8F&amp;psc=1" TargetMode="External"/><Relationship Id="rId1" Type="http://schemas.openxmlformats.org/officeDocument/2006/relationships/hyperlink" Target="https://www.amazon.co.jp/gp/product/4422440063/ref=ox_sc_act_title_3?smid=AN1VRQENFRJN5&amp;psc=1" TargetMode="External"/><Relationship Id="rId6" Type="http://schemas.openxmlformats.org/officeDocument/2006/relationships/hyperlink" Target="https://www.amazon.co.jp/gp/product/4860992385/ref=ox_sc_act_title_10?smid=A1PCVJ0FKZGVF3&amp;psc=1" TargetMode="External"/><Relationship Id="rId11" Type="http://schemas.openxmlformats.org/officeDocument/2006/relationships/hyperlink" Target="https://www.amazon.co.jp/gp/product/4422440322/ref=ox_sc_act_title_15?smid=AN1VRQENFRJN5&amp;psc=1" TargetMode="External"/><Relationship Id="rId5" Type="http://schemas.openxmlformats.org/officeDocument/2006/relationships/hyperlink" Target="https://www.amazon.co.jp/gp/product/4582407374/ref=ox_sc_act_title_9?smid=AN1VRQENFRJN5&amp;psc=1" TargetMode="External"/><Relationship Id="rId15" Type="http://schemas.openxmlformats.org/officeDocument/2006/relationships/hyperlink" Target="https://www.amazon.co.jp/gp/product/4756251307/ref=ox_sc_act_title_19?smid=AN1VRQENFRJN5&amp;psc=1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www.amazon.co.jp/gp/product/4297104652/ref=ox_sc_act_title_14?smid=AN1VRQENFRJN5&amp;psc=1" TargetMode="External"/><Relationship Id="rId19" Type="http://schemas.openxmlformats.org/officeDocument/2006/relationships/hyperlink" Target="https://www.amazon.co.jp/%E6%97%A5%E6%9C%AC%E3%81%AE%E6%96%87%E6%A7%98%E3%80%88%E7%AC%AC2%E9%9B%86%E3%80%89-%E7%B4%85%E4%BC%9A/dp/4861520746/ref=pd_bxgy_d_sccl_1/356-8261455-1358553?pd_rd_w=CYD8z&amp;content-id=amzn1.sym.cfa071a0-99a8-492e-b5ae-71db9847f457&amp;pf_rd_p=cfa071a0-99a8-492e-b5ae-71db9847f457&amp;pf_rd_r=WDZ3JGM3X2VXBHDMWXW0&amp;pd_rd_wg=Rwv1A&amp;pd_rd_r=5463b2fa-e462-4bff-bdf3-81c922022731&amp;pd_rd_i=4861520746&amp;psc=1" TargetMode="External"/><Relationship Id="rId4" Type="http://schemas.openxmlformats.org/officeDocument/2006/relationships/hyperlink" Target="https://www.amazon.co.jp/gp/product/4915534391/ref=ox_sc_act_title_6?smid=AN1VRQENFRJN5&amp;psc=1" TargetMode="External"/><Relationship Id="rId9" Type="http://schemas.openxmlformats.org/officeDocument/2006/relationships/hyperlink" Target="https://www.amazon.co.jp/gp/product/4894519615/ref=ox_sc_act_title_13?smid=AN1VRQENFRJN5&amp;psc=1" TargetMode="External"/><Relationship Id="rId14" Type="http://schemas.openxmlformats.org/officeDocument/2006/relationships/hyperlink" Target="https://www.amazon.co.jp/gp/product/4861520738/ref=ox_sc_act_title_18?smid=AN1VRQENFRJN5&amp;psc=1" TargetMode="External"/><Relationship Id="rId22" Type="http://schemas.openxmlformats.org/officeDocument/2006/relationships/hyperlink" Target="https://www.amazon.co.jp/%E6%A3%AE%E6%9E%97%E8%A6%AA%E5%92%8C%E9%81%8B%E5%8B%95%E3%81%A8%E3%81%97%E3%81%A6%E3%81%AE%E6%9C%A8%E8%82%B2-%E2%80%95%E3%82%82%E3%81%AE%E3%81%A5%E3%81%8F%E3%82%8A%E3%81%AE%E5%BE%A9%E6%A8%A9%E3%81%A8%E6%A3%AE%E6%9E%97%E5%8C%96%E7%A4%BE%E4%BC%9A%E3%81%AE%E5%AE%9F%E7%8F%BE-%E7%94%B0%E5%8F%A3-%E6%B5%A9%E7%B6%99/dp/4798502022/ref=sr_1_7?__mk_ja_JP=%E3%82%AB%E3%82%BF%E3%82%AB%E3%83%8A&amp;crid=2VQYJVLCIPT77&amp;dib=eyJ2IjoiMSJ9.smgxXKR3b4dRJ14ZNPzLRLVd1hPB3a6eWFP6ZQIma-e8VDBpdOPxjQkiHBAwpuUBLKubDrRdUOlmQhF5Z046Vu8ltLIsfZNFoOSIRvxREU78zrHesOxSF9agvPZzNKqYL1EshB14Q7zB7MRRq0pbpxy3ssCWVvNw-WeQP7M19X5XMxDksmneNZo_xQ7cndFXaz2xZMGZ9eMqmrwGbocCHO9Cx9A3tkp_NKEF37-Yru9Jkfv4Dan-G6u3oMhmObPU8pI3xR1aYTM24OdO_c38XCfzb_9S5CALrcMsAOzB-bw.vAA8BwBXSLOn26YUHcuerhflsEhp9kmfeUXcSbuCgFc&amp;dib_tag=se&amp;keywords=%E6%9C%A8%E8%82%B2+%E6%9C%AC&amp;qid=1726622513&amp;sprefix=%E6%9C%A8%E8%82%B2+%E6%9B%B8%E7%B1%8D%2Caps%2C173&amp;sr=8-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1E73A-FEF3-4AC5-BC59-936F8FFF3BCC}">
  <sheetPr>
    <pageSetUpPr fitToPage="1"/>
  </sheetPr>
  <dimension ref="A1:C36"/>
  <sheetViews>
    <sheetView tabSelected="1" topLeftCell="A31" workbookViewId="0">
      <selection activeCell="B34" sqref="B34"/>
    </sheetView>
  </sheetViews>
  <sheetFormatPr defaultRowHeight="18" x14ac:dyDescent="0.55000000000000004"/>
  <cols>
    <col min="2" max="2" width="46.75" style="3" customWidth="1"/>
    <col min="3" max="3" width="8.6640625" style="6"/>
  </cols>
  <sheetData>
    <row r="1" spans="1:3" x14ac:dyDescent="0.55000000000000004">
      <c r="B1" s="3" t="s">
        <v>31</v>
      </c>
    </row>
    <row r="2" spans="1:3" ht="36" x14ac:dyDescent="0.55000000000000004">
      <c r="B2" s="3" t="s">
        <v>0</v>
      </c>
    </row>
    <row r="4" spans="1:3" x14ac:dyDescent="0.55000000000000004">
      <c r="A4">
        <v>1</v>
      </c>
      <c r="B4" s="2" t="s">
        <v>12</v>
      </c>
      <c r="C4" s="5">
        <v>3520</v>
      </c>
    </row>
    <row r="5" spans="1:3" ht="36" x14ac:dyDescent="0.55000000000000004">
      <c r="A5">
        <v>2</v>
      </c>
      <c r="B5" s="2" t="s">
        <v>17</v>
      </c>
      <c r="C5" s="5">
        <v>4400</v>
      </c>
    </row>
    <row r="6" spans="1:3" x14ac:dyDescent="0.55000000000000004">
      <c r="A6">
        <v>3</v>
      </c>
      <c r="B6" s="2" t="s">
        <v>18</v>
      </c>
      <c r="C6" s="5">
        <v>3520</v>
      </c>
    </row>
    <row r="7" spans="1:3" x14ac:dyDescent="0.55000000000000004">
      <c r="A7">
        <v>4</v>
      </c>
      <c r="B7" s="2" t="s">
        <v>19</v>
      </c>
      <c r="C7" s="5">
        <v>3740</v>
      </c>
    </row>
    <row r="8" spans="1:3" x14ac:dyDescent="0.55000000000000004">
      <c r="A8">
        <v>5</v>
      </c>
      <c r="B8" s="2" t="s">
        <v>20</v>
      </c>
      <c r="C8" s="5">
        <v>1445</v>
      </c>
    </row>
    <row r="9" spans="1:3" ht="36" x14ac:dyDescent="0.55000000000000004">
      <c r="A9">
        <v>6</v>
      </c>
      <c r="B9" s="2" t="s">
        <v>21</v>
      </c>
      <c r="C9" s="5">
        <v>5500</v>
      </c>
    </row>
    <row r="10" spans="1:3" x14ac:dyDescent="0.55000000000000004">
      <c r="A10">
        <v>7</v>
      </c>
      <c r="B10" s="2" t="s">
        <v>22</v>
      </c>
      <c r="C10" s="5">
        <v>1650</v>
      </c>
    </row>
    <row r="11" spans="1:3" x14ac:dyDescent="0.55000000000000004">
      <c r="A11">
        <v>8</v>
      </c>
      <c r="B11" s="2" t="s">
        <v>25</v>
      </c>
      <c r="C11" s="5">
        <v>4389</v>
      </c>
    </row>
    <row r="12" spans="1:3" ht="36" x14ac:dyDescent="0.55000000000000004">
      <c r="A12">
        <v>9</v>
      </c>
      <c r="B12" s="2" t="s">
        <v>26</v>
      </c>
      <c r="C12" s="5">
        <v>2068</v>
      </c>
    </row>
    <row r="13" spans="1:3" x14ac:dyDescent="0.55000000000000004">
      <c r="A13">
        <v>10</v>
      </c>
      <c r="B13" s="2" t="s">
        <v>15</v>
      </c>
      <c r="C13" s="5">
        <v>1540</v>
      </c>
    </row>
    <row r="14" spans="1:3" ht="36" x14ac:dyDescent="0.55000000000000004">
      <c r="A14">
        <v>11</v>
      </c>
      <c r="B14" s="2" t="s">
        <v>16</v>
      </c>
      <c r="C14" s="5">
        <v>2640</v>
      </c>
    </row>
    <row r="15" spans="1:3" x14ac:dyDescent="0.55000000000000004">
      <c r="B15" s="4" t="s">
        <v>6</v>
      </c>
      <c r="C15" s="7">
        <f>SUM(C4:C14)</f>
        <v>34412</v>
      </c>
    </row>
    <row r="17" spans="1:3" x14ac:dyDescent="0.55000000000000004">
      <c r="A17" s="8" t="s">
        <v>1</v>
      </c>
      <c r="B17" s="8"/>
      <c r="C17" s="8"/>
    </row>
    <row r="18" spans="1:3" x14ac:dyDescent="0.55000000000000004">
      <c r="A18">
        <v>1</v>
      </c>
      <c r="B18" s="2" t="s">
        <v>3</v>
      </c>
      <c r="C18" s="5">
        <v>2420</v>
      </c>
    </row>
    <row r="19" spans="1:3" ht="54" x14ac:dyDescent="0.55000000000000004">
      <c r="A19">
        <v>2</v>
      </c>
      <c r="B19" s="2" t="s">
        <v>14</v>
      </c>
      <c r="C19" s="5">
        <v>1320</v>
      </c>
    </row>
    <row r="20" spans="1:3" ht="54" x14ac:dyDescent="0.55000000000000004">
      <c r="A20">
        <v>3</v>
      </c>
      <c r="B20" s="2" t="s">
        <v>4</v>
      </c>
      <c r="C20" s="5">
        <v>1320</v>
      </c>
    </row>
    <row r="21" spans="1:3" x14ac:dyDescent="0.55000000000000004">
      <c r="A21">
        <v>4</v>
      </c>
      <c r="B21" s="2" t="s">
        <v>5</v>
      </c>
      <c r="C21" s="5">
        <v>4674</v>
      </c>
    </row>
    <row r="22" spans="1:3" ht="36" x14ac:dyDescent="0.55000000000000004">
      <c r="A22">
        <v>5</v>
      </c>
      <c r="B22" s="2" t="s">
        <v>13</v>
      </c>
      <c r="C22" s="5">
        <v>990</v>
      </c>
    </row>
    <row r="23" spans="1:3" x14ac:dyDescent="0.55000000000000004">
      <c r="A23">
        <v>6</v>
      </c>
      <c r="B23" s="2" t="s">
        <v>23</v>
      </c>
      <c r="C23" s="5">
        <v>2750</v>
      </c>
    </row>
    <row r="24" spans="1:3" x14ac:dyDescent="0.55000000000000004">
      <c r="A24">
        <v>7</v>
      </c>
      <c r="B24" s="2" t="s">
        <v>24</v>
      </c>
      <c r="C24" s="5">
        <v>2090</v>
      </c>
    </row>
    <row r="25" spans="1:3" x14ac:dyDescent="0.55000000000000004">
      <c r="B25" s="4" t="s">
        <v>7</v>
      </c>
      <c r="C25" s="7">
        <f>SUM(C18:C24)</f>
        <v>15564</v>
      </c>
    </row>
    <row r="26" spans="1:3" x14ac:dyDescent="0.55000000000000004">
      <c r="A26" s="8" t="s">
        <v>2</v>
      </c>
      <c r="B26" s="8"/>
      <c r="C26" s="8"/>
    </row>
    <row r="27" spans="1:3" x14ac:dyDescent="0.55000000000000004">
      <c r="A27">
        <v>1</v>
      </c>
      <c r="B27" s="2" t="s">
        <v>27</v>
      </c>
      <c r="C27" s="5">
        <v>2420</v>
      </c>
    </row>
    <row r="28" spans="1:3" x14ac:dyDescent="0.55000000000000004">
      <c r="A28">
        <v>2</v>
      </c>
      <c r="B28" s="1" t="s">
        <v>28</v>
      </c>
      <c r="C28" s="5">
        <v>2840</v>
      </c>
    </row>
    <row r="29" spans="1:3" x14ac:dyDescent="0.55000000000000004">
      <c r="A29">
        <v>3</v>
      </c>
      <c r="B29" s="1" t="s">
        <v>29</v>
      </c>
      <c r="C29" s="5">
        <v>2640</v>
      </c>
    </row>
    <row r="30" spans="1:3" x14ac:dyDescent="0.55000000000000004">
      <c r="A30">
        <v>4</v>
      </c>
      <c r="B30" s="1" t="s">
        <v>30</v>
      </c>
      <c r="C30" s="5">
        <v>5720</v>
      </c>
    </row>
    <row r="31" spans="1:3" x14ac:dyDescent="0.55000000000000004">
      <c r="B31" s="4" t="s">
        <v>8</v>
      </c>
      <c r="C31" s="7">
        <f>SUM(C27:C30)</f>
        <v>13620</v>
      </c>
    </row>
    <row r="32" spans="1:3" x14ac:dyDescent="0.55000000000000004">
      <c r="B32" s="4" t="s">
        <v>9</v>
      </c>
      <c r="C32" s="7">
        <f>C15+C25</f>
        <v>49976</v>
      </c>
    </row>
    <row r="33" spans="2:3" x14ac:dyDescent="0.55000000000000004">
      <c r="B33" s="4" t="s">
        <v>10</v>
      </c>
      <c r="C33" s="9">
        <f>C15+C31</f>
        <v>48032</v>
      </c>
    </row>
    <row r="34" spans="2:3" x14ac:dyDescent="0.55000000000000004">
      <c r="B34" s="4" t="s">
        <v>11</v>
      </c>
      <c r="C34" s="7">
        <f>C25-C31</f>
        <v>1944</v>
      </c>
    </row>
    <row r="35" spans="2:3" x14ac:dyDescent="0.55000000000000004">
      <c r="B35" s="4" t="s">
        <v>32</v>
      </c>
      <c r="C35" s="7">
        <f>C33+500</f>
        <v>48532</v>
      </c>
    </row>
    <row r="36" spans="2:3" x14ac:dyDescent="0.55000000000000004">
      <c r="B36" s="4" t="s">
        <v>33</v>
      </c>
      <c r="C36" s="6">
        <v>1106</v>
      </c>
    </row>
  </sheetData>
  <mergeCells count="2">
    <mergeCell ref="A17:C17"/>
    <mergeCell ref="A26:C26"/>
  </mergeCells>
  <phoneticPr fontId="1"/>
  <hyperlinks>
    <hyperlink ref="B4" r:id="rId1" display="https://www.amazon.co.jp/gp/product/4422440063/ref=ox_sc_act_title_3?smid=AN1VRQENFRJN5&amp;psc=1" xr:uid="{0F047E09-4922-4F8E-96E4-5B4DC64B90AB}"/>
    <hyperlink ref="B23" r:id="rId2" display="https://www.amazon.co.jp/gp/product/4864631565/ref=ox_sc_act_title_4?smid=AN1VRQENFRJN5&amp;psc=1" xr:uid="{FC691654-52EA-4623-A01D-0217BE6FBB8A}"/>
    <hyperlink ref="B24" r:id="rId3" display="https://www.amazon.co.jp/gp/product/4309292844/ref=ox_sc_act_title_5?smid=AN1VRQENFRJN5&amp;psc=1" xr:uid="{5B566F09-F808-4957-93DD-FA43A8C4B6CD}"/>
    <hyperlink ref="B9" r:id="rId4" display="https://www.amazon.co.jp/gp/product/4915534391/ref=ox_sc_act_title_6?smid=AN1VRQENFRJN5&amp;psc=1" xr:uid="{DA2F549F-E2B2-447D-A041-CEC28E975F24}"/>
    <hyperlink ref="B10" r:id="rId5" display="https://www.amazon.co.jp/gp/product/4582407374/ref=ox_sc_act_title_9?smid=AN1VRQENFRJN5&amp;psc=1" xr:uid="{0FDA3BEA-C1AD-41C2-977E-8A7E4F03FA2B}"/>
    <hyperlink ref="B8" r:id="rId6" display="https://www.amazon.co.jp/gp/product/4860992385/ref=ox_sc_act_title_10?smid=A1PCVJ0FKZGVF3&amp;psc=1" xr:uid="{10DEF181-28D0-431F-A01F-D41423B41253}"/>
    <hyperlink ref="B14" r:id="rId7" display="https://www.amazon.co.jp/gp/product/4297132087/ref=ox_sc_act_title_11?smid=AN1VRQENFRJN5&amp;psc=1" xr:uid="{B0A75719-C3F3-4569-B39C-3966D40B0435}"/>
    <hyperlink ref="B13" r:id="rId8" display="https://www.amazon.co.jp/gp/product/4866671114/ref=ox_sc_act_title_12?smid=AN1VRQENFRJN5&amp;psc=1" xr:uid="{41670940-09BF-4DB2-B53E-E9FF510B9E07}"/>
    <hyperlink ref="B22" r:id="rId9" display="https://www.amazon.co.jp/gp/product/4894519615/ref=ox_sc_act_title_13?smid=AN1VRQENFRJN5&amp;psc=1" xr:uid="{6364D439-EA89-42B5-8410-892709F1DBFA}"/>
    <hyperlink ref="B12" r:id="rId10" display="https://www.amazon.co.jp/gp/product/4297104652/ref=ox_sc_act_title_14?smid=AN1VRQENFRJN5&amp;psc=1" xr:uid="{33B76A04-FB5B-4CBA-BD7F-AB7D4722E802}"/>
    <hyperlink ref="B7" r:id="rId11" display="https://www.amazon.co.jp/gp/product/4422440322/ref=ox_sc_act_title_15?smid=AN1VRQENFRJN5&amp;psc=1" xr:uid="{F0AAEA06-0B99-498D-83B1-2DDAA8EB571F}"/>
    <hyperlink ref="B6" r:id="rId12" display="https://www.amazon.co.jp/gp/product/4767829992/ref=ox_sc_act_title_16?smid=AN1VRQENFRJN5&amp;psc=1" xr:uid="{1575830D-ADAF-48D4-8EE9-AC4D75AB87BC}"/>
    <hyperlink ref="B5" r:id="rId13" display="https://www.amazon.co.jp/gp/product/4416620160/ref=ox_sc_act_title_17?smid=AN1VRQENFRJN5&amp;psc=1" xr:uid="{0B6F506D-E6D5-49D2-ACD4-8F6B6008CCFD}"/>
    <hyperlink ref="B19" r:id="rId14" display="https://www.amazon.co.jp/gp/product/4861520738/ref=ox_sc_act_title_18?smid=AN1VRQENFRJN5&amp;psc=1" xr:uid="{340BBE47-A175-4700-BD24-EAF50B02E938}"/>
    <hyperlink ref="B11" r:id="rId15" display="https://www.amazon.co.jp/gp/product/4756251307/ref=ox_sc_act_title_19?smid=AN1VRQENFRJN5&amp;psc=1" xr:uid="{BDA0B9A0-AD13-4B3B-A879-C7AE720210CB}"/>
    <hyperlink ref="B27" r:id="rId16" display="https://www.amazon.co.jp/gp/product/4846020819/ref=ox_sc_act_title_2?smid=AN1VRQENFRJN5&amp;psc=1" xr:uid="{B8B8C0E5-4894-415D-BF0E-955530C3BD23}"/>
    <hyperlink ref="B18" r:id="rId17" display="https://www.amazon.co.jp/dp/4582635229/?ref_=cm_wl_huc_item" xr:uid="{7FF8958F-F8F9-4BB0-9FD3-4E515B25CAB2}"/>
    <hyperlink ref="B21" r:id="rId18" display="https://www.amazon.co.jp/dp/3283005362/?ref_=cm_wl_huc_item" xr:uid="{8E1E5E07-E819-4B38-90C7-8F22CFED1412}"/>
    <hyperlink ref="B20" r:id="rId19" display="https://www.amazon.co.jp/%E6%97%A5%E6%9C%AC%E3%81%AE%E6%96%87%E6%A7%98%E3%80%88%E7%AC%AC2%E9%9B%86%E3%80%89-%E7%B4%85%E4%BC%9A/dp/4861520746/ref=pd_bxgy_d_sccl_1/356-8261455-1358553?pd_rd_w=CYD8z&amp;content-id=amzn1.sym.cfa071a0-99a8-492e-b5ae-71db9847f457&amp;pf_rd_p=cfa071a0-99a8-492e-b5ae-71db9847f457&amp;pf_rd_r=WDZ3JGM3X2VXBHDMWXW0&amp;pd_rd_wg=Rwv1A&amp;pd_rd_r=5463b2fa-e462-4bff-bdf3-81c922022731&amp;pd_rd_i=4861520746&amp;psc=1" xr:uid="{699CB466-CFB4-4755-B35D-3C44507375C3}"/>
    <hyperlink ref="B28" r:id="rId20" display="https://www.amazon.co.jp/gp/product/4894534746/ref=ox_sc_act_title_2?smid=A36BFK4VOV6N8F&amp;psc=1" xr:uid="{42EE1279-D5AB-4B0F-8BE3-94577DA20890}"/>
    <hyperlink ref="B29" r:id="rId21" display="https://www.amazon.co.jp/gp/product/4762832294/ref=ox_sc_act_title_1?smid=AN1VRQENFRJN5&amp;psc=1" xr:uid="{1B277ED3-3AAE-480E-B0D7-007190251181}"/>
    <hyperlink ref="B30" r:id="rId22" display="https://www.amazon.co.jp/%E6%A3%AE%E6%9E%97%E8%A6%AA%E5%92%8C%E9%81%8B%E5%8B%95%E3%81%A8%E3%81%97%E3%81%A6%E3%81%AE%E6%9C%A8%E8%82%B2-%E2%80%95%E3%82%82%E3%81%AE%E3%81%A5%E3%81%8F%E3%82%8A%E3%81%AE%E5%BE%A9%E6%A8%A9%E3%81%A8%E6%A3%AE%E6%9E%97%E5%8C%96%E7%A4%BE%E4%BC%9A%E3%81%AE%E5%AE%9F%E7%8F%BE-%E7%94%B0%E5%8F%A3-%E6%B5%A9%E7%B6%99/dp/4798502022/ref=sr_1_7?__mk_ja_JP=%E3%82%AB%E3%82%BF%E3%82%AB%E3%83%8A&amp;crid=2VQYJVLCIPT77&amp;dib=eyJ2IjoiMSJ9.smgxXKR3b4dRJ14ZNPzLRLVd1hPB3a6eWFP6ZQIma-e8VDBpdOPxjQkiHBAwpuUBLKubDrRdUOlmQhF5Z046Vu8ltLIsfZNFoOSIRvxREU78zrHesOxSF9agvPZzNKqYL1EshB14Q7zB7MRRq0pbpxy3ssCWVvNw-WeQP7M19X5XMxDksmneNZo_xQ7cndFXaz2xZMGZ9eMqmrwGbocCHO9Cx9A3tkp_NKEF37-Yru9Jkfv4Dan-G6u3oMhmObPU8pI3xR1aYTM24OdO_c38XCfzb_9S5CALrcMsAOzB-bw.vAA8BwBXSLOn26YUHcuerhflsEhp9kmfeUXcSbuCgFc&amp;dib_tag=se&amp;keywords=%E6%9C%A8%E8%82%B2+%E6%9C%AC&amp;qid=1726622513&amp;sprefix=%E6%9C%A8%E8%82%B2+%E6%9B%B8%E7%B1%8D%2Caps%2C173&amp;sr=8-7" xr:uid="{6BD68DDA-A0B8-4AA9-A236-7989B5C3F96F}"/>
  </hyperlinks>
  <pageMargins left="0.7" right="0.7" top="0.75" bottom="0.75" header="0.3" footer="0.3"/>
  <pageSetup paperSize="9" scale="86" orientation="portrait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紗希 新田</dc:creator>
  <cp:lastModifiedBy>紗希 新田</cp:lastModifiedBy>
  <cp:lastPrinted>2024-09-18T01:56:28Z</cp:lastPrinted>
  <dcterms:created xsi:type="dcterms:W3CDTF">2024-09-18T00:48:36Z</dcterms:created>
  <dcterms:modified xsi:type="dcterms:W3CDTF">2024-09-18T01:57:46Z</dcterms:modified>
</cp:coreProperties>
</file>