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マイドライブ\📁 01_進行中\"/>
    </mc:Choice>
  </mc:AlternateContent>
  <xr:revisionPtr revIDLastSave="0" documentId="13_ncr:1_{8210A459-236F-4FBE-85B6-5CA47247E338}" xr6:coauthVersionLast="47" xr6:coauthVersionMax="47" xr10:uidLastSave="{00000000-0000-0000-0000-000000000000}"/>
  <bookViews>
    <workbookView xWindow="8808" yWindow="216" windowWidth="15312" windowHeight="11508" activeTab="1" xr2:uid="{52FA3C37-CE38-4C3C-BFC1-06CEA69F7F0F}"/>
  </bookViews>
  <sheets>
    <sheet name="Sheet1" sheetId="1" r:id="rId1"/>
    <sheet name="R7_証憑整理一覧表（兼 支出管理簿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1" l="1"/>
  <c r="E28" i="2" l="1"/>
  <c r="G12" i="1"/>
  <c r="E12" i="1"/>
  <c r="F12" i="1"/>
  <c r="D22" i="1" l="1"/>
  <c r="P14" i="1"/>
  <c r="P18" i="1" s="1"/>
  <c r="C26" i="1"/>
  <c r="B3" i="1"/>
  <c r="G7" i="1" s="1"/>
  <c r="D17" i="1"/>
  <c r="B16" i="1"/>
  <c r="P15" i="1" l="1"/>
  <c r="P16" i="1" s="1"/>
</calcChain>
</file>

<file path=xl/sharedStrings.xml><?xml version="1.0" encoding="utf-8"?>
<sst xmlns="http://schemas.openxmlformats.org/spreadsheetml/2006/main" count="218" uniqueCount="120">
  <si>
    <t>項　　目</t>
  </si>
  <si>
    <t>予算額</t>
  </si>
  <si>
    <t>左のうち盛岡市</t>
  </si>
  <si>
    <t>補助金充当額</t>
  </si>
  <si>
    <t>内容説明（算出基礎等）</t>
  </si>
  <si>
    <t>外注加工費</t>
  </si>
  <si>
    <t>（打ち合わせへの参加、原材料の調達、試作）</t>
  </si>
  <si>
    <r>
      <t>外注先：岩手</t>
    </r>
    <r>
      <rPr>
        <sz val="10.5"/>
        <color theme="1"/>
        <rFont val="Century"/>
        <family val="1"/>
      </rPr>
      <t>ADC</t>
    </r>
  </si>
  <si>
    <t>（プロダクトディレクション）</t>
  </si>
  <si>
    <t>資料購入費</t>
  </si>
  <si>
    <t>機械装置及び工具器具の借料</t>
  </si>
  <si>
    <r>
      <t>1,100</t>
    </r>
    <r>
      <rPr>
        <sz val="10.5"/>
        <color theme="1"/>
        <rFont val="ＭＳ 明朝"/>
        <family val="1"/>
        <charset val="128"/>
      </rPr>
      <t>円×</t>
    </r>
    <r>
      <rPr>
        <sz val="10.5"/>
        <color theme="1"/>
        <rFont val="Century"/>
        <family val="1"/>
      </rPr>
      <t>2</t>
    </r>
    <r>
      <rPr>
        <sz val="10.5"/>
        <color theme="1"/>
        <rFont val="ＭＳ 明朝"/>
        <family val="1"/>
        <charset val="128"/>
      </rPr>
      <t>時間×</t>
    </r>
    <r>
      <rPr>
        <sz val="10.5"/>
        <color theme="1"/>
        <rFont val="Century"/>
        <family val="1"/>
      </rPr>
      <t>5</t>
    </r>
    <r>
      <rPr>
        <sz val="10.5"/>
        <color theme="1"/>
        <rFont val="ＭＳ 明朝"/>
        <family val="1"/>
        <charset val="128"/>
      </rPr>
      <t>回</t>
    </r>
  </si>
  <si>
    <t>原材料費（工業技術センターでの試作分）</t>
  </si>
  <si>
    <r>
      <t>スチレンボード</t>
    </r>
    <r>
      <rPr>
        <sz val="10.5"/>
        <color theme="1"/>
        <rFont val="Century"/>
        <family val="1"/>
      </rPr>
      <t>7mm 550x800mm</t>
    </r>
    <r>
      <rPr>
        <sz val="10.5"/>
        <color theme="1"/>
        <rFont val="ＭＳ 明朝"/>
        <family val="1"/>
        <charset val="128"/>
      </rPr>
      <t>×</t>
    </r>
    <r>
      <rPr>
        <sz val="10.5"/>
        <color theme="1"/>
        <rFont val="Century"/>
        <family val="1"/>
      </rPr>
      <t>20</t>
    </r>
    <r>
      <rPr>
        <sz val="10.5"/>
        <color theme="1"/>
        <rFont val="ＭＳ 明朝"/>
        <family val="1"/>
        <charset val="128"/>
      </rPr>
      <t>枚（</t>
    </r>
    <r>
      <rPr>
        <sz val="10.5"/>
        <color theme="1"/>
        <rFont val="Century"/>
        <family val="1"/>
      </rPr>
      <t>1,078</t>
    </r>
    <r>
      <rPr>
        <sz val="10.5"/>
        <color theme="1"/>
        <rFont val="ＭＳ 明朝"/>
        <family val="1"/>
        <charset val="128"/>
      </rPr>
      <t>円×</t>
    </r>
    <r>
      <rPr>
        <sz val="10.5"/>
        <color theme="1"/>
        <rFont val="Century"/>
        <family val="1"/>
      </rPr>
      <t>20=21,560</t>
    </r>
    <r>
      <rPr>
        <sz val="10.5"/>
        <color theme="1"/>
        <rFont val="ＭＳ 明朝"/>
        <family val="1"/>
        <charset val="128"/>
      </rPr>
      <t>円）、木材</t>
    </r>
    <r>
      <rPr>
        <sz val="10.5"/>
        <color theme="1"/>
        <rFont val="Century"/>
        <family val="1"/>
      </rPr>
      <t>120*500*8</t>
    </r>
    <r>
      <rPr>
        <sz val="10.5"/>
        <color theme="1"/>
        <rFont val="ＭＳ 明朝"/>
        <family val="1"/>
        <charset val="128"/>
      </rPr>
      <t>㎜×</t>
    </r>
    <r>
      <rPr>
        <sz val="10.5"/>
        <color theme="1"/>
        <rFont val="Century"/>
        <family val="1"/>
      </rPr>
      <t>30</t>
    </r>
    <r>
      <rPr>
        <sz val="10.5"/>
        <color theme="1"/>
        <rFont val="ＭＳ 明朝"/>
        <family val="1"/>
        <charset val="128"/>
      </rPr>
      <t>枚（</t>
    </r>
    <r>
      <rPr>
        <sz val="10.5"/>
        <color theme="1"/>
        <rFont val="Century"/>
        <family val="1"/>
      </rPr>
      <t>800</t>
    </r>
    <r>
      <rPr>
        <sz val="10.5"/>
        <color theme="1"/>
        <rFont val="ＭＳ 明朝"/>
        <family val="1"/>
        <charset val="128"/>
      </rPr>
      <t>円×</t>
    </r>
    <r>
      <rPr>
        <sz val="10.5"/>
        <color theme="1"/>
        <rFont val="Century"/>
        <family val="1"/>
      </rPr>
      <t>30</t>
    </r>
    <r>
      <rPr>
        <sz val="10.5"/>
        <color theme="1"/>
        <rFont val="ＭＳ 明朝"/>
        <family val="1"/>
        <charset val="128"/>
      </rPr>
      <t>＝</t>
    </r>
    <r>
      <rPr>
        <sz val="10.5"/>
        <color theme="1"/>
        <rFont val="Century"/>
        <family val="1"/>
      </rPr>
      <t>24,000</t>
    </r>
    <r>
      <rPr>
        <sz val="10.5"/>
        <color theme="1"/>
        <rFont val="ＭＳ 明朝"/>
        <family val="1"/>
        <charset val="128"/>
      </rPr>
      <t>円）、木材</t>
    </r>
    <r>
      <rPr>
        <sz val="10.5"/>
        <color theme="1"/>
        <rFont val="Century"/>
        <family val="1"/>
      </rPr>
      <t>9</t>
    </r>
    <r>
      <rPr>
        <sz val="10.5"/>
        <color theme="1"/>
        <rFont val="ＭＳ 明朝"/>
        <family val="1"/>
        <charset val="128"/>
      </rPr>
      <t>種の調達（</t>
    </r>
    <r>
      <rPr>
        <sz val="10.5"/>
        <color theme="1"/>
        <rFont val="Century"/>
        <family val="1"/>
      </rPr>
      <t>110,000</t>
    </r>
    <r>
      <rPr>
        <sz val="10.5"/>
        <color theme="1"/>
        <rFont val="ＭＳ 明朝"/>
        <family val="1"/>
        <charset val="128"/>
      </rPr>
      <t>円）</t>
    </r>
  </si>
  <si>
    <r>
      <t>9</t>
    </r>
    <r>
      <rPr>
        <sz val="10.5"/>
        <color theme="1"/>
        <rFont val="ＭＳ 明朝"/>
        <family val="1"/>
        <charset val="128"/>
      </rPr>
      <t>月ごろにテレビ岩手アカデミーにて木工ワークショップを開催予定（</t>
    </r>
    <r>
      <rPr>
        <sz val="10.5"/>
        <color theme="1"/>
        <rFont val="Century"/>
        <family val="1"/>
      </rPr>
      <t>1</t>
    </r>
    <r>
      <rPr>
        <sz val="10.5"/>
        <color theme="1"/>
        <rFont val="ＭＳ 明朝"/>
        <family val="1"/>
        <charset val="128"/>
      </rPr>
      <t>階ロビーのレンタルが</t>
    </r>
    <r>
      <rPr>
        <sz val="10.5"/>
        <color theme="1"/>
        <rFont val="Century"/>
        <family val="1"/>
      </rPr>
      <t>10,000/</t>
    </r>
    <r>
      <rPr>
        <sz val="10.5"/>
        <color theme="1"/>
        <rFont val="ＭＳ 明朝"/>
        <family val="1"/>
        <charset val="128"/>
      </rPr>
      <t>一日）</t>
    </r>
  </si>
  <si>
    <r>
      <t>Instagram</t>
    </r>
    <r>
      <rPr>
        <sz val="10.5"/>
        <color theme="1"/>
        <rFont val="ＭＳ 明朝"/>
        <family val="1"/>
        <charset val="128"/>
      </rPr>
      <t>での投稿を広告化する際の費用として、</t>
    </r>
    <r>
      <rPr>
        <sz val="10.5"/>
        <color theme="1"/>
        <rFont val="Century"/>
        <family val="1"/>
      </rPr>
      <t>1</t>
    </r>
    <r>
      <rPr>
        <sz val="10.5"/>
        <color theme="1"/>
        <rFont val="ＭＳ 明朝"/>
        <family val="1"/>
        <charset val="128"/>
      </rPr>
      <t>回</t>
    </r>
    <r>
      <rPr>
        <sz val="10.5"/>
        <color theme="1"/>
        <rFont val="Century"/>
        <family val="1"/>
      </rPr>
      <t>5</t>
    </r>
    <r>
      <rPr>
        <sz val="10.5"/>
        <color theme="1"/>
        <rFont val="ＭＳ 明朝"/>
        <family val="1"/>
        <charset val="128"/>
      </rPr>
      <t>万円×</t>
    </r>
    <r>
      <rPr>
        <sz val="10.5"/>
        <color theme="1"/>
        <rFont val="Century"/>
        <family val="1"/>
      </rPr>
      <t>2</t>
    </r>
    <r>
      <rPr>
        <sz val="10.5"/>
        <color theme="1"/>
        <rFont val="ＭＳ 明朝"/>
        <family val="1"/>
        <charset val="128"/>
      </rPr>
      <t>回を想定→実施なし</t>
    </r>
  </si>
  <si>
    <t>試作やイベントに使用する養生テープ、マスキングテープなど</t>
  </si>
  <si>
    <t>支出合計</t>
  </si>
  <si>
    <t>※</t>
  </si>
  <si>
    <t>前払い２</t>
    <rPh sb="0" eb="2">
      <t>マエバラ</t>
    </rPh>
    <phoneticPr fontId="1"/>
  </si>
  <si>
    <t>前払い１</t>
    <rPh sb="0" eb="2">
      <t>マエバラ</t>
    </rPh>
    <phoneticPr fontId="1"/>
  </si>
  <si>
    <t>消耗品費</t>
    <rPh sb="0" eb="4">
      <t>ショウモウヒンヒ</t>
    </rPh>
    <phoneticPr fontId="1"/>
  </si>
  <si>
    <r>
      <t>広告宣伝費（</t>
    </r>
    <r>
      <rPr>
        <sz val="10.5"/>
        <color theme="1"/>
        <rFont val="Century"/>
        <family val="1"/>
      </rPr>
      <t>Instagram</t>
    </r>
    <r>
      <rPr>
        <sz val="10.5"/>
        <color theme="1"/>
        <rFont val="ＭＳ 明朝"/>
        <family val="1"/>
        <charset val="128"/>
      </rPr>
      <t>広告）</t>
    </r>
    <phoneticPr fontId="1"/>
  </si>
  <si>
    <t>消耗品費</t>
    <phoneticPr fontId="1"/>
  </si>
  <si>
    <t>外注先：松森木工所</t>
    <phoneticPr fontId="1"/>
  </si>
  <si>
    <t>参考資料、他社製品</t>
    <phoneticPr fontId="1"/>
  </si>
  <si>
    <t>工業技術センターでの試作分</t>
    <phoneticPr fontId="1"/>
  </si>
  <si>
    <t>前金払
（1回目）
支払済</t>
  </si>
  <si>
    <t>松森木工所</t>
    <rPh sb="0" eb="2">
      <t>マツモリ</t>
    </rPh>
    <rPh sb="2" eb="5">
      <t>モッコウジョ</t>
    </rPh>
    <phoneticPr fontId="5"/>
  </si>
  <si>
    <r>
      <t xml:space="preserve">製作業務
</t>
    </r>
    <r>
      <rPr>
        <sz val="9"/>
        <color theme="1"/>
        <rFont val="游ゴシック"/>
        <family val="3"/>
        <charset val="128"/>
        <scheme val="minor"/>
      </rPr>
      <t>（打合せ・助言、原材料調達、試作費を含む）</t>
    </r>
    <rPh sb="0" eb="2">
      <t>セイサク</t>
    </rPh>
    <rPh sb="2" eb="4">
      <t>ギョウム</t>
    </rPh>
    <rPh sb="6" eb="8">
      <t>ウチアワ</t>
    </rPh>
    <rPh sb="10" eb="12">
      <t>ジョゲン</t>
    </rPh>
    <rPh sb="13" eb="16">
      <t>ゲンザイリョウ</t>
    </rPh>
    <rPh sb="16" eb="18">
      <t>チョウタツ</t>
    </rPh>
    <rPh sb="19" eb="21">
      <t>シサク</t>
    </rPh>
    <rPh sb="21" eb="22">
      <t>ヒ</t>
    </rPh>
    <rPh sb="23" eb="24">
      <t>フク</t>
    </rPh>
    <phoneticPr fontId="5"/>
  </si>
  <si>
    <t>前金払
（2回目）</t>
  </si>
  <si>
    <t>岩手ADC</t>
    <rPh sb="0" eb="2">
      <t>イワテ</t>
    </rPh>
    <phoneticPr fontId="5"/>
  </si>
  <si>
    <t>①プロダクトデザイン費②人件費③交通費</t>
    <rPh sb="10" eb="11">
      <t>ヒ</t>
    </rPh>
    <rPh sb="12" eb="15">
      <t>ジンケンヒ</t>
    </rPh>
    <rPh sb="16" eb="19">
      <t>コウツウヒ</t>
    </rPh>
    <phoneticPr fontId="5"/>
  </si>
  <si>
    <t>株式会社アプティ</t>
    <rPh sb="0" eb="4">
      <t>カブシキガイシャ</t>
    </rPh>
    <phoneticPr fontId="5"/>
  </si>
  <si>
    <t>はかり組み木</t>
  </si>
  <si>
    <t>株式会社百町森</t>
    <rPh sb="0" eb="4">
      <t>カブシキガイシャ</t>
    </rPh>
    <rPh sb="4" eb="7">
      <t>ヒャクチョウモリ</t>
    </rPh>
    <phoneticPr fontId="5"/>
  </si>
  <si>
    <t>オルナボ</t>
  </si>
  <si>
    <t>ネフスピール</t>
  </si>
  <si>
    <t>Amazon</t>
  </si>
  <si>
    <t>スチレンボード</t>
  </si>
  <si>
    <t>からくり玩具世界一周</t>
    <rPh sb="4" eb="6">
      <t>ガング</t>
    </rPh>
    <rPh sb="6" eb="8">
      <t>セカイ</t>
    </rPh>
    <rPh sb="8" eb="10">
      <t>イッシュウ</t>
    </rPh>
    <phoneticPr fontId="5"/>
  </si>
  <si>
    <t>シドロモドロ工作所のはじめてのお彫刻教室</t>
  </si>
  <si>
    <t>合　　計</t>
    <rPh sb="0" eb="1">
      <t>ゴウ</t>
    </rPh>
    <rPh sb="3" eb="4">
      <t>ケイ</t>
    </rPh>
    <phoneticPr fontId="5"/>
  </si>
  <si>
    <t>ST</t>
    <phoneticPr fontId="1"/>
  </si>
  <si>
    <t>会場借料（試作品のPRイベント）</t>
    <phoneticPr fontId="1"/>
  </si>
  <si>
    <t>切り捨て</t>
    <rPh sb="0" eb="1">
      <t>キ</t>
    </rPh>
    <rPh sb="2" eb="3">
      <t>ス</t>
    </rPh>
    <phoneticPr fontId="1"/>
  </si>
  <si>
    <t>B: 支払日</t>
  </si>
  <si>
    <t>C: 勘定科目</t>
  </si>
  <si>
    <t>D: 支払先・内容</t>
  </si>
  <si>
    <t>E: 金額</t>
  </si>
  <si>
    <t>F: 決済手段</t>
  </si>
  <si>
    <t>G: 通帳照合</t>
  </si>
  <si>
    <t>T-04-01</t>
  </si>
  <si>
    <t>消耗品費</t>
  </si>
  <si>
    <t>済</t>
  </si>
  <si>
    <t>旅費交通費</t>
  </si>
  <si>
    <t>現金</t>
  </si>
  <si>
    <t>-</t>
  </si>
  <si>
    <t>現金</t>
    <phoneticPr fontId="1"/>
  </si>
  <si>
    <t>セリア</t>
    <phoneticPr fontId="1"/>
  </si>
  <si>
    <t>ローソン</t>
    <phoneticPr fontId="1"/>
  </si>
  <si>
    <t>DCM</t>
    <phoneticPr fontId="1"/>
  </si>
  <si>
    <t>G-09-01</t>
    <phoneticPr fontId="1"/>
  </si>
  <si>
    <t>G-09-02</t>
    <phoneticPr fontId="1"/>
  </si>
  <si>
    <t>G-09-03</t>
    <phoneticPr fontId="1"/>
  </si>
  <si>
    <t>G-09-04</t>
    <phoneticPr fontId="1"/>
  </si>
  <si>
    <t>G-11-01</t>
    <phoneticPr fontId="1"/>
  </si>
  <si>
    <t>G-04-01</t>
    <phoneticPr fontId="1"/>
  </si>
  <si>
    <t>盛岡バスセンターサイドパーキング</t>
    <rPh sb="0" eb="2">
      <t>モリオカ</t>
    </rPh>
    <phoneticPr fontId="1"/>
  </si>
  <si>
    <t>MMC</t>
    <phoneticPr fontId="1"/>
  </si>
  <si>
    <t>G-09-05</t>
    <phoneticPr fontId="1"/>
  </si>
  <si>
    <t>G-09-06</t>
    <phoneticPr fontId="1"/>
  </si>
  <si>
    <t>三井のリパーク</t>
    <rPh sb="0" eb="2">
      <t>ミツイ</t>
    </rPh>
    <phoneticPr fontId="1"/>
  </si>
  <si>
    <t>GTカフェ</t>
    <phoneticPr fontId="1"/>
  </si>
  <si>
    <t>ZOOMOイベント</t>
    <phoneticPr fontId="1"/>
  </si>
  <si>
    <t>手数料</t>
    <rPh sb="0" eb="3">
      <t>テスウリョウ</t>
    </rPh>
    <phoneticPr fontId="1"/>
  </si>
  <si>
    <t>旅費交通費</t>
    <rPh sb="0" eb="5">
      <t>リョヒコウツウヒ</t>
    </rPh>
    <phoneticPr fontId="1"/>
  </si>
  <si>
    <t>会場</t>
    <rPh sb="0" eb="2">
      <t>カイジョウ</t>
    </rPh>
    <phoneticPr fontId="1"/>
  </si>
  <si>
    <t>原材料費</t>
    <rPh sb="0" eb="4">
      <t>ゲンザイリョウヒ</t>
    </rPh>
    <phoneticPr fontId="1"/>
  </si>
  <si>
    <t>借料</t>
    <rPh sb="0" eb="2">
      <t>シャクリョウ</t>
    </rPh>
    <phoneticPr fontId="1"/>
  </si>
  <si>
    <t>資料</t>
    <rPh sb="0" eb="2">
      <t>シリョウ</t>
    </rPh>
    <phoneticPr fontId="1"/>
  </si>
  <si>
    <t>ADC</t>
    <phoneticPr fontId="1"/>
  </si>
  <si>
    <t>松森</t>
    <rPh sb="0" eb="2">
      <t>マツモリ</t>
    </rPh>
    <phoneticPr fontId="1"/>
  </si>
  <si>
    <t>外注費</t>
    <rPh sb="0" eb="3">
      <t>ガイチュウヒ</t>
    </rPh>
    <phoneticPr fontId="1"/>
  </si>
  <si>
    <t>資料購入費</t>
    <rPh sb="0" eb="2">
      <t>シリョウ</t>
    </rPh>
    <rPh sb="2" eb="5">
      <t>コウニュウヒ</t>
    </rPh>
    <phoneticPr fontId="1"/>
  </si>
  <si>
    <t>機械装置及び工具器具の借料</t>
    <rPh sb="0" eb="2">
      <t>キカイ</t>
    </rPh>
    <rPh sb="2" eb="4">
      <t>ソウチ</t>
    </rPh>
    <rPh sb="4" eb="5">
      <t>オヨ</t>
    </rPh>
    <rPh sb="6" eb="8">
      <t>コウグ</t>
    </rPh>
    <rPh sb="8" eb="10">
      <t>キグ</t>
    </rPh>
    <rPh sb="11" eb="13">
      <t>シャクリョウ</t>
    </rPh>
    <phoneticPr fontId="1"/>
  </si>
  <si>
    <t>松森木工所</t>
    <rPh sb="0" eb="2">
      <t>マツモリ</t>
    </rPh>
    <rPh sb="2" eb="5">
      <t>モッコウショ</t>
    </rPh>
    <phoneticPr fontId="1"/>
  </si>
  <si>
    <t>百町森</t>
    <rPh sb="0" eb="3">
      <t>ヒャクチョウモリ</t>
    </rPh>
    <phoneticPr fontId="1"/>
  </si>
  <si>
    <t>アプティ</t>
    <phoneticPr fontId="1"/>
  </si>
  <si>
    <t>岩手ADC</t>
    <rPh sb="0" eb="2">
      <t>イワテ</t>
    </rPh>
    <phoneticPr fontId="1"/>
  </si>
  <si>
    <t>日本玩具協会</t>
    <rPh sb="0" eb="6">
      <t>ニホンガングキョウカイ</t>
    </rPh>
    <phoneticPr fontId="1"/>
  </si>
  <si>
    <t>T-05-01</t>
    <phoneticPr fontId="1"/>
  </si>
  <si>
    <t>T-05-02</t>
    <phoneticPr fontId="1"/>
  </si>
  <si>
    <t>T-06-01</t>
    <phoneticPr fontId="1"/>
  </si>
  <si>
    <t>T-07-01</t>
    <phoneticPr fontId="1"/>
  </si>
  <si>
    <t>T-10-01</t>
    <phoneticPr fontId="1"/>
  </si>
  <si>
    <t>T-03-01</t>
    <phoneticPr fontId="1"/>
  </si>
  <si>
    <t>P-04-01</t>
    <phoneticPr fontId="1"/>
  </si>
  <si>
    <t>P-05-01</t>
    <phoneticPr fontId="1"/>
  </si>
  <si>
    <t>P-05-02</t>
    <phoneticPr fontId="1"/>
  </si>
  <si>
    <t>P-06-01</t>
    <phoneticPr fontId="1"/>
  </si>
  <si>
    <t>G-09-07</t>
    <phoneticPr fontId="1"/>
  </si>
  <si>
    <t>会場借料</t>
    <rPh sb="0" eb="4">
      <t>カイジョウシャクリョウ</t>
    </rPh>
    <phoneticPr fontId="1"/>
  </si>
  <si>
    <t>テレビ岩手</t>
    <rPh sb="3" eb="5">
      <t>イワテ</t>
    </rPh>
    <phoneticPr fontId="1"/>
  </si>
  <si>
    <t>引落し</t>
    <rPh sb="0" eb="2">
      <t>ヒキオト</t>
    </rPh>
    <phoneticPr fontId="1"/>
  </si>
  <si>
    <r>
      <t>前払い</t>
    </r>
    <r>
      <rPr>
        <sz val="11"/>
        <color rgb="FF1F1F1F"/>
        <rFont val="游ゴシック Light"/>
        <family val="3"/>
        <charset val="128"/>
      </rPr>
      <t>（実施4/18）</t>
    </r>
    <phoneticPr fontId="1"/>
  </si>
  <si>
    <r>
      <t>前払い</t>
    </r>
    <r>
      <rPr>
        <sz val="11"/>
        <color rgb="FF1F1F1F"/>
        <rFont val="游ゴシック Light"/>
        <family val="3"/>
        <charset val="128"/>
      </rPr>
      <t>（実施6/16）</t>
    </r>
    <phoneticPr fontId="1"/>
  </si>
  <si>
    <t>Amazon</t>
    <phoneticPr fontId="1"/>
  </si>
  <si>
    <t>P-05-03</t>
    <phoneticPr fontId="1"/>
  </si>
  <si>
    <t>P-05-04</t>
    <phoneticPr fontId="1"/>
  </si>
  <si>
    <t>原材料費</t>
    <rPh sb="0" eb="1">
      <t>ゲン</t>
    </rPh>
    <rPh sb="1" eb="4">
      <t>ザイリョウヒ</t>
    </rPh>
    <phoneticPr fontId="1"/>
  </si>
  <si>
    <t>合計</t>
    <rPh sb="0" eb="2">
      <t>ゴウケイ</t>
    </rPh>
    <phoneticPr fontId="1"/>
  </si>
  <si>
    <r>
      <t>A: 通し番号</t>
    </r>
    <r>
      <rPr>
        <sz val="11"/>
        <color rgb="FF1F1F1F"/>
        <rFont val="游ゴシック Light"/>
        <family val="3"/>
        <charset val="128"/>
      </rPr>
      <t>（G＝現金、T＝通帳、P＝前払）</t>
    </r>
    <rPh sb="10" eb="12">
      <t>ゲンキン</t>
    </rPh>
    <rPh sb="15" eb="17">
      <t>ツウチョウ</t>
    </rPh>
    <rPh sb="20" eb="22">
      <t>マエバラ</t>
    </rPh>
    <phoneticPr fontId="1"/>
  </si>
  <si>
    <t>岩手県工業技術センター</t>
    <rPh sb="0" eb="3">
      <t>イワテケン</t>
    </rPh>
    <rPh sb="3" eb="5">
      <t>コウギョウ</t>
    </rPh>
    <rPh sb="5" eb="7">
      <t>ギジュツ</t>
    </rPh>
    <phoneticPr fontId="1"/>
  </si>
  <si>
    <t>H: 備考
（前払い等）</t>
    <phoneticPr fontId="1"/>
  </si>
  <si>
    <t>令和7年度  証憑整理一覧表（兼 支出管理簿）</t>
    <phoneticPr fontId="1"/>
  </si>
  <si>
    <t>T-03-02</t>
    <phoneticPr fontId="1"/>
  </si>
  <si>
    <t>-</t>
    <phoneticPr fontId="1"/>
  </si>
  <si>
    <t>T-07-02</t>
    <phoneticPr fontId="1"/>
  </si>
  <si>
    <t>T-10-02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</si>
</sst>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[$-411]ge\.m\.d;@"/>
    <numFmt numFmtId="186" formatCode="#,##0_);[Red]\(#,##0\)"/>
    <numFmt numFmtId="187" formatCode="#,##0_);\(#,##0\)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Century"/>
      <family val="1"/>
    </font>
    <font>
      <sz val="10.5"/>
      <color theme="1"/>
      <name val="ＭＳ 明朝"/>
      <family val="1"/>
      <charset val="128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2"/>
      <scheme val="minor"/>
    </font>
    <font>
      <sz val="11"/>
      <name val="游ゴシック"/>
      <family val="2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rgb="FF1F1F1F"/>
      <name val="游ゴシック Light"/>
      <family val="3"/>
      <charset val="128"/>
    </font>
    <font>
      <sz val="11"/>
      <color theme="1"/>
      <name val="游ゴシック Light"/>
      <family val="3"/>
      <charset val="128"/>
    </font>
    <font>
      <sz val="11"/>
      <color rgb="FF1F1F1F"/>
      <name val="游ゴシック Light"/>
      <family val="3"/>
      <charset val="128"/>
    </font>
    <font>
      <b/>
      <sz val="11"/>
      <color theme="1"/>
      <name val="游ゴシック Light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>
      <alignment vertical="center"/>
    </xf>
    <xf numFmtId="0" fontId="4" fillId="0" borderId="0"/>
    <xf numFmtId="38" fontId="4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3" fillId="0" borderId="3" xfId="0" applyFont="1" applyBorder="1" applyAlignment="1">
      <alignment horizontal="justify" vertical="center" wrapText="1"/>
    </xf>
    <xf numFmtId="3" fontId="2" fillId="0" borderId="6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3" fontId="3" fillId="0" borderId="0" xfId="0" applyNumberFormat="1" applyFont="1">
      <alignment vertical="center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justify" vertical="center"/>
    </xf>
    <xf numFmtId="0" fontId="3" fillId="0" borderId="6" xfId="0" applyFont="1" applyBorder="1" applyAlignment="1">
      <alignment horizontal="justify" vertical="center"/>
    </xf>
    <xf numFmtId="0" fontId="2" fillId="0" borderId="6" xfId="0" applyFont="1" applyBorder="1" applyAlignment="1">
      <alignment horizontal="justify" vertical="center"/>
    </xf>
    <xf numFmtId="3" fontId="2" fillId="0" borderId="0" xfId="0" applyNumberFormat="1" applyFont="1">
      <alignment vertical="center"/>
    </xf>
    <xf numFmtId="176" fontId="4" fillId="0" borderId="12" xfId="1" applyNumberFormat="1" applyBorder="1" applyAlignment="1">
      <alignment vertical="center"/>
    </xf>
    <xf numFmtId="177" fontId="4" fillId="0" borderId="12" xfId="1" applyNumberFormat="1" applyBorder="1" applyAlignment="1">
      <alignment vertical="center"/>
    </xf>
    <xf numFmtId="0" fontId="4" fillId="2" borderId="12" xfId="1" applyFill="1" applyBorder="1" applyAlignment="1">
      <alignment vertical="center" wrapText="1"/>
    </xf>
    <xf numFmtId="0" fontId="4" fillId="2" borderId="12" xfId="1" applyFill="1" applyBorder="1" applyAlignment="1">
      <alignment vertical="center"/>
    </xf>
    <xf numFmtId="176" fontId="4" fillId="2" borderId="12" xfId="1" applyNumberFormat="1" applyFill="1" applyBorder="1" applyAlignment="1">
      <alignment vertical="center"/>
    </xf>
    <xf numFmtId="177" fontId="4" fillId="2" borderId="12" xfId="1" applyNumberFormat="1" applyFill="1" applyBorder="1" applyAlignment="1">
      <alignment vertical="center"/>
    </xf>
    <xf numFmtId="0" fontId="6" fillId="2" borderId="12" xfId="1" applyFont="1" applyFill="1" applyBorder="1" applyAlignment="1">
      <alignment vertical="center"/>
    </xf>
    <xf numFmtId="176" fontId="7" fillId="2" borderId="12" xfId="1" applyNumberFormat="1" applyFont="1" applyFill="1" applyBorder="1" applyAlignment="1">
      <alignment vertical="center"/>
    </xf>
    <xf numFmtId="0" fontId="4" fillId="0" borderId="12" xfId="1" applyBorder="1" applyAlignment="1">
      <alignment horizontal="center" vertical="center" wrapText="1"/>
    </xf>
    <xf numFmtId="38" fontId="4" fillId="0" borderId="12" xfId="2" applyFont="1" applyBorder="1" applyAlignment="1">
      <alignment vertical="center"/>
    </xf>
    <xf numFmtId="38" fontId="4" fillId="2" borderId="12" xfId="2" applyFont="1" applyFill="1" applyBorder="1" applyAlignment="1">
      <alignment horizontal="right" vertical="center"/>
    </xf>
    <xf numFmtId="176" fontId="0" fillId="0" borderId="0" xfId="0" applyNumberFormat="1">
      <alignment vertical="center"/>
    </xf>
    <xf numFmtId="0" fontId="4" fillId="0" borderId="16" xfId="1" applyBorder="1" applyAlignment="1">
      <alignment horizontal="center" vertical="center" wrapText="1"/>
    </xf>
    <xf numFmtId="0" fontId="4" fillId="0" borderId="17" xfId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38" fontId="4" fillId="2" borderId="12" xfId="2" applyFont="1" applyFill="1" applyBorder="1" applyAlignment="1">
      <alignment horizontal="right" vertical="center"/>
    </xf>
    <xf numFmtId="3" fontId="2" fillId="0" borderId="11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4" fillId="0" borderId="13" xfId="1" applyBorder="1" applyAlignment="1">
      <alignment horizontal="center" vertical="center"/>
    </xf>
    <xf numFmtId="0" fontId="4" fillId="0" borderId="14" xfId="1" applyBorder="1" applyAlignment="1">
      <alignment horizontal="center" vertical="center"/>
    </xf>
    <xf numFmtId="0" fontId="4" fillId="0" borderId="15" xfId="1" applyBorder="1" applyAlignment="1">
      <alignment horizontal="center"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 wrapText="1"/>
    </xf>
    <xf numFmtId="3" fontId="2" fillId="0" borderId="9" xfId="0" applyNumberFormat="1" applyFont="1" applyBorder="1" applyAlignment="1">
      <alignment horizontal="right" vertical="center" wrapText="1"/>
    </xf>
    <xf numFmtId="3" fontId="2" fillId="0" borderId="5" xfId="0" applyNumberFormat="1" applyFont="1" applyBorder="1" applyAlignment="1">
      <alignment horizontal="right" vertical="center" wrapText="1"/>
    </xf>
    <xf numFmtId="3" fontId="2" fillId="0" borderId="10" xfId="0" applyNumberFormat="1" applyFont="1" applyBorder="1" applyAlignment="1">
      <alignment horizontal="right" vertical="center" wrapText="1"/>
    </xf>
    <xf numFmtId="3" fontId="2" fillId="0" borderId="6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186" fontId="10" fillId="0" borderId="0" xfId="0" applyNumberFormat="1" applyFont="1" applyBorder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 wrapText="1"/>
    </xf>
    <xf numFmtId="0" fontId="13" fillId="0" borderId="0" xfId="0" applyFont="1" applyBorder="1">
      <alignment vertical="center"/>
    </xf>
    <xf numFmtId="0" fontId="9" fillId="0" borderId="19" xfId="0" applyFont="1" applyBorder="1" applyAlignment="1">
      <alignment vertical="center" wrapText="1" readingOrder="1"/>
    </xf>
    <xf numFmtId="0" fontId="11" fillId="0" borderId="19" xfId="0" applyFont="1" applyBorder="1" applyAlignment="1">
      <alignment vertical="center" wrapText="1" readingOrder="1"/>
    </xf>
    <xf numFmtId="56" fontId="11" fillId="0" borderId="19" xfId="0" applyNumberFormat="1" applyFont="1" applyBorder="1" applyAlignment="1">
      <alignment vertical="center" wrapText="1" readingOrder="1"/>
    </xf>
    <xf numFmtId="0" fontId="11" fillId="0" borderId="19" xfId="0" applyFont="1" applyBorder="1" applyAlignment="1">
      <alignment vertical="center" readingOrder="1"/>
    </xf>
    <xf numFmtId="186" fontId="10" fillId="0" borderId="19" xfId="0" applyNumberFormat="1" applyFont="1" applyBorder="1">
      <alignment vertical="center"/>
    </xf>
    <xf numFmtId="0" fontId="10" fillId="0" borderId="19" xfId="0" applyFont="1" applyBorder="1">
      <alignment vertical="center"/>
    </xf>
    <xf numFmtId="186" fontId="11" fillId="0" borderId="19" xfId="0" applyNumberFormat="1" applyFont="1" applyBorder="1" applyAlignment="1">
      <alignment vertical="center" wrapText="1" readingOrder="1"/>
    </xf>
    <xf numFmtId="56" fontId="10" fillId="0" borderId="19" xfId="0" applyNumberFormat="1" applyFont="1" applyBorder="1">
      <alignment vertical="center"/>
    </xf>
    <xf numFmtId="0" fontId="10" fillId="0" borderId="19" xfId="0" applyFont="1" applyBorder="1" applyAlignment="1">
      <alignment vertical="center" wrapText="1"/>
    </xf>
    <xf numFmtId="186" fontId="11" fillId="0" borderId="19" xfId="0" applyNumberFormat="1" applyFont="1" applyFill="1" applyBorder="1" applyAlignment="1">
      <alignment vertical="center" wrapText="1" readingOrder="1"/>
    </xf>
    <xf numFmtId="0" fontId="10" fillId="0" borderId="19" xfId="0" applyFont="1" applyBorder="1" applyAlignment="1">
      <alignment vertical="center"/>
    </xf>
    <xf numFmtId="187" fontId="10" fillId="0" borderId="19" xfId="0" applyNumberFormat="1" applyFont="1" applyBorder="1">
      <alignment vertical="center"/>
    </xf>
    <xf numFmtId="186" fontId="12" fillId="0" borderId="19" xfId="0" applyNumberFormat="1" applyFont="1" applyBorder="1">
      <alignment vertical="center"/>
    </xf>
    <xf numFmtId="0" fontId="9" fillId="3" borderId="19" xfId="0" applyFont="1" applyFill="1" applyBorder="1" applyAlignment="1">
      <alignment vertical="center" wrapText="1" readingOrder="1"/>
    </xf>
    <xf numFmtId="0" fontId="9" fillId="3" borderId="19" xfId="0" applyFont="1" applyFill="1" applyBorder="1" applyAlignment="1">
      <alignment vertical="center" readingOrder="1"/>
    </xf>
    <xf numFmtId="186" fontId="9" fillId="3" borderId="19" xfId="0" applyNumberFormat="1" applyFont="1" applyFill="1" applyBorder="1" applyAlignment="1">
      <alignment vertical="center" wrapText="1" readingOrder="1"/>
    </xf>
  </cellXfs>
  <cellStyles count="3">
    <cellStyle name="桁区切り 2" xfId="2" xr:uid="{A0C44D7D-449A-48DE-BFA0-25BD675BC50B}"/>
    <cellStyle name="標準" xfId="0" builtinId="0"/>
    <cellStyle name="標準 2" xfId="1" xr:uid="{9C467DB0-08EF-4A50-B773-BEDBF2D86B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FBE6B-4658-4BD3-B34E-5A86A32646DF}">
  <dimension ref="A1:R40"/>
  <sheetViews>
    <sheetView topLeftCell="A28" workbookViewId="0">
      <selection activeCell="H39" sqref="H39"/>
    </sheetView>
  </sheetViews>
  <sheetFormatPr defaultRowHeight="18" x14ac:dyDescent="0.45"/>
  <cols>
    <col min="2" max="3" width="9.3984375" bestFit="1" customWidth="1"/>
    <col min="6" max="6" width="9.3984375" bestFit="1" customWidth="1"/>
    <col min="9" max="9" width="9.3984375" bestFit="1" customWidth="1"/>
    <col min="10" max="10" width="14.796875" customWidth="1"/>
  </cols>
  <sheetData>
    <row r="1" spans="1:18" x14ac:dyDescent="0.45">
      <c r="A1" t="s">
        <v>20</v>
      </c>
      <c r="B1">
        <v>880000</v>
      </c>
      <c r="F1" t="s">
        <v>45</v>
      </c>
    </row>
    <row r="2" spans="1:18" ht="93" x14ac:dyDescent="0.45">
      <c r="A2" t="s">
        <v>19</v>
      </c>
      <c r="B2" s="7">
        <v>373000</v>
      </c>
      <c r="D2" t="s">
        <v>82</v>
      </c>
      <c r="E2">
        <v>880000</v>
      </c>
      <c r="F2" s="1">
        <v>880000</v>
      </c>
      <c r="L2" s="22" t="s">
        <v>27</v>
      </c>
      <c r="M2" s="16" t="s">
        <v>28</v>
      </c>
      <c r="N2" s="16" t="s">
        <v>29</v>
      </c>
      <c r="O2" s="18">
        <v>880000</v>
      </c>
      <c r="P2" s="18">
        <v>880000</v>
      </c>
      <c r="Q2" s="24">
        <v>880000</v>
      </c>
      <c r="R2" s="19">
        <v>45748</v>
      </c>
    </row>
    <row r="3" spans="1:18" ht="18.600000000000001" thickBot="1" x14ac:dyDescent="0.5">
      <c r="B3">
        <f>SUM(B1:B2)</f>
        <v>1253000</v>
      </c>
      <c r="D3" t="s">
        <v>81</v>
      </c>
      <c r="E3">
        <v>311300</v>
      </c>
      <c r="F3" s="1">
        <v>311000</v>
      </c>
      <c r="L3" s="26" t="s">
        <v>30</v>
      </c>
      <c r="M3" s="17" t="s">
        <v>31</v>
      </c>
      <c r="N3" s="20" t="s">
        <v>32</v>
      </c>
      <c r="O3" s="18">
        <v>311300</v>
      </c>
      <c r="P3" s="18">
        <v>311300</v>
      </c>
      <c r="Q3" s="29">
        <v>373000</v>
      </c>
      <c r="R3" s="19">
        <v>45770</v>
      </c>
    </row>
    <row r="4" spans="1:18" ht="36.6" thickBot="1" x14ac:dyDescent="0.5">
      <c r="D4" t="s">
        <v>80</v>
      </c>
      <c r="E4" s="8">
        <v>126298</v>
      </c>
      <c r="F4" s="1">
        <v>126000</v>
      </c>
      <c r="L4" s="27"/>
      <c r="M4" s="17" t="s">
        <v>33</v>
      </c>
      <c r="N4" s="16" t="s">
        <v>34</v>
      </c>
      <c r="O4" s="18">
        <v>14300</v>
      </c>
      <c r="P4" s="18">
        <v>14300</v>
      </c>
      <c r="Q4" s="29"/>
      <c r="R4" s="19">
        <v>45791</v>
      </c>
    </row>
    <row r="5" spans="1:18" x14ac:dyDescent="0.45">
      <c r="D5" t="s">
        <v>79</v>
      </c>
      <c r="E5">
        <v>3300</v>
      </c>
      <c r="F5" s="1">
        <v>3000</v>
      </c>
      <c r="L5" s="27"/>
      <c r="M5" s="17" t="s">
        <v>35</v>
      </c>
      <c r="N5" s="16" t="s">
        <v>36</v>
      </c>
      <c r="O5" s="21">
        <v>23513</v>
      </c>
      <c r="P5" s="18">
        <v>23513</v>
      </c>
      <c r="Q5" s="29"/>
      <c r="R5" s="19">
        <v>45791</v>
      </c>
    </row>
    <row r="6" spans="1:18" ht="36" x14ac:dyDescent="0.45">
      <c r="B6">
        <v>440</v>
      </c>
      <c r="D6" t="s">
        <v>78</v>
      </c>
      <c r="E6" s="13">
        <v>111678</v>
      </c>
      <c r="F6" s="1">
        <v>111000</v>
      </c>
      <c r="L6" s="27"/>
      <c r="M6" s="17" t="s">
        <v>35</v>
      </c>
      <c r="N6" s="16" t="s">
        <v>37</v>
      </c>
      <c r="O6" s="21">
        <v>17765</v>
      </c>
      <c r="P6" s="18">
        <v>17765</v>
      </c>
      <c r="Q6" s="29"/>
      <c r="R6" s="19">
        <v>45791</v>
      </c>
    </row>
    <row r="7" spans="1:18" ht="36" x14ac:dyDescent="0.45">
      <c r="B7">
        <v>2090</v>
      </c>
      <c r="D7" t="s">
        <v>77</v>
      </c>
      <c r="E7">
        <v>10000</v>
      </c>
      <c r="F7" s="1">
        <v>10000</v>
      </c>
      <c r="G7" s="13">
        <f>1488000-B3</f>
        <v>235000</v>
      </c>
      <c r="L7" s="27"/>
      <c r="M7" s="17" t="s">
        <v>38</v>
      </c>
      <c r="N7" s="16" t="s">
        <v>39</v>
      </c>
      <c r="O7" s="18">
        <v>1078</v>
      </c>
      <c r="P7" s="18">
        <v>1078</v>
      </c>
      <c r="Q7" s="29"/>
      <c r="R7" s="19">
        <v>45791</v>
      </c>
    </row>
    <row r="8" spans="1:18" ht="54" x14ac:dyDescent="0.45">
      <c r="B8">
        <v>1000</v>
      </c>
      <c r="D8" t="s">
        <v>21</v>
      </c>
      <c r="E8">
        <v>4115</v>
      </c>
      <c r="F8" s="1">
        <v>4000</v>
      </c>
      <c r="L8" s="27"/>
      <c r="M8" s="17" t="s">
        <v>38</v>
      </c>
      <c r="N8" s="16" t="s">
        <v>40</v>
      </c>
      <c r="O8" s="18">
        <v>3300</v>
      </c>
      <c r="P8" s="18">
        <v>3300</v>
      </c>
      <c r="Q8" s="29"/>
      <c r="R8" s="19">
        <v>45791</v>
      </c>
    </row>
    <row r="9" spans="1:18" x14ac:dyDescent="0.45">
      <c r="D9" t="s">
        <v>76</v>
      </c>
      <c r="E9">
        <v>3000</v>
      </c>
      <c r="F9" s="1">
        <v>3000</v>
      </c>
      <c r="L9" s="27"/>
      <c r="M9" s="17"/>
      <c r="N9" s="16"/>
      <c r="O9" s="18"/>
      <c r="P9" s="18"/>
      <c r="Q9" s="29"/>
      <c r="R9" s="19"/>
    </row>
    <row r="10" spans="1:18" x14ac:dyDescent="0.45">
      <c r="D10" t="s">
        <v>75</v>
      </c>
      <c r="E10">
        <v>3410</v>
      </c>
      <c r="F10" s="1">
        <v>3000</v>
      </c>
      <c r="L10" s="27"/>
      <c r="M10" s="17"/>
      <c r="N10" s="16"/>
      <c r="O10" s="18"/>
      <c r="P10" s="18"/>
      <c r="Q10" s="29"/>
      <c r="R10" s="19"/>
    </row>
    <row r="11" spans="1:18" x14ac:dyDescent="0.45">
      <c r="F11" s="1"/>
      <c r="L11" s="27"/>
      <c r="M11" s="17"/>
      <c r="N11" s="16"/>
      <c r="O11" s="18"/>
      <c r="P11" s="18"/>
      <c r="Q11" s="29"/>
      <c r="R11" s="19"/>
    </row>
    <row r="12" spans="1:18" ht="90" x14ac:dyDescent="0.45">
      <c r="B12">
        <v>260</v>
      </c>
      <c r="E12">
        <f>SUM(E2:E10)</f>
        <v>1453101</v>
      </c>
      <c r="F12" s="1">
        <f>SUM(F2:F10)</f>
        <v>1451000</v>
      </c>
      <c r="G12" s="1">
        <f>F12-B3</f>
        <v>198000</v>
      </c>
      <c r="H12" s="1"/>
      <c r="L12" s="28"/>
      <c r="M12" s="17" t="s">
        <v>38</v>
      </c>
      <c r="N12" s="16" t="s">
        <v>41</v>
      </c>
      <c r="O12" s="18">
        <v>2090</v>
      </c>
      <c r="P12" s="18">
        <v>2090</v>
      </c>
      <c r="Q12" s="29"/>
      <c r="R12" s="19">
        <v>45791</v>
      </c>
    </row>
    <row r="13" spans="1:18" x14ac:dyDescent="0.45">
      <c r="B13">
        <v>1000</v>
      </c>
      <c r="L13" s="34" t="s">
        <v>42</v>
      </c>
      <c r="M13" s="35"/>
      <c r="N13" s="36"/>
      <c r="O13" s="14">
        <v>1253346</v>
      </c>
      <c r="P13" s="14">
        <v>1253346</v>
      </c>
      <c r="Q13" s="23">
        <v>1253000</v>
      </c>
      <c r="R13" s="15"/>
    </row>
    <row r="14" spans="1:18" x14ac:dyDescent="0.45">
      <c r="B14">
        <v>660</v>
      </c>
      <c r="P14" s="25">
        <f>P4+P5+P6+P8+P12</f>
        <v>60968</v>
      </c>
    </row>
    <row r="15" spans="1:18" ht="18.600000000000001" thickBot="1" x14ac:dyDescent="0.5">
      <c r="B15">
        <v>665</v>
      </c>
      <c r="P15" s="25">
        <f>123420-P14</f>
        <v>62452</v>
      </c>
    </row>
    <row r="16" spans="1:18" ht="21" customHeight="1" x14ac:dyDescent="0.45">
      <c r="B16">
        <f>SUM(B6:B15)</f>
        <v>6115</v>
      </c>
      <c r="F16" s="45" t="s">
        <v>0</v>
      </c>
      <c r="G16" s="45" t="s">
        <v>1</v>
      </c>
      <c r="H16" s="47" t="s">
        <v>2</v>
      </c>
      <c r="I16" s="48"/>
      <c r="J16" s="51" t="s">
        <v>4</v>
      </c>
      <c r="P16" s="25">
        <f>65330-P15</f>
        <v>2878</v>
      </c>
    </row>
    <row r="17" spans="2:16" ht="18.600000000000001" thickBot="1" x14ac:dyDescent="0.5">
      <c r="D17">
        <f>127000-123420</f>
        <v>3580</v>
      </c>
      <c r="F17" s="46"/>
      <c r="G17" s="46"/>
      <c r="H17" s="49" t="s">
        <v>3</v>
      </c>
      <c r="I17" s="50"/>
      <c r="J17" s="52"/>
      <c r="O17" t="s">
        <v>43</v>
      </c>
      <c r="P17">
        <v>65330</v>
      </c>
    </row>
    <row r="18" spans="2:16" ht="27" thickBot="1" x14ac:dyDescent="0.5">
      <c r="F18" s="37" t="s">
        <v>5</v>
      </c>
      <c r="G18" s="39">
        <v>880000</v>
      </c>
      <c r="H18" s="41">
        <v>880000</v>
      </c>
      <c r="I18" s="42"/>
      <c r="J18" s="10" t="s">
        <v>24</v>
      </c>
      <c r="P18" s="25">
        <f>P14+P17</f>
        <v>126298</v>
      </c>
    </row>
    <row r="19" spans="2:16" ht="40.200000000000003" thickBot="1" x14ac:dyDescent="0.5">
      <c r="B19">
        <v>880000</v>
      </c>
      <c r="C19" s="8">
        <v>880000</v>
      </c>
      <c r="F19" s="38"/>
      <c r="G19" s="40"/>
      <c r="H19" s="43"/>
      <c r="I19" s="44"/>
      <c r="J19" s="11" t="s">
        <v>6</v>
      </c>
    </row>
    <row r="20" spans="2:16" ht="27.6" thickBot="1" x14ac:dyDescent="0.5">
      <c r="B20">
        <v>311000</v>
      </c>
      <c r="C20" s="6">
        <v>311000</v>
      </c>
      <c r="F20" s="37" t="s">
        <v>5</v>
      </c>
      <c r="G20" s="39">
        <v>311300</v>
      </c>
      <c r="H20" s="41">
        <v>311000</v>
      </c>
      <c r="I20" s="42"/>
      <c r="J20" s="10" t="s">
        <v>7</v>
      </c>
    </row>
    <row r="21" spans="2:16" ht="40.200000000000003" thickBot="1" x14ac:dyDescent="0.5">
      <c r="B21">
        <v>123420</v>
      </c>
      <c r="C21" s="6">
        <v>123000</v>
      </c>
      <c r="F21" s="38"/>
      <c r="G21" s="40"/>
      <c r="H21" s="43"/>
      <c r="I21" s="44"/>
      <c r="J21" s="11" t="s">
        <v>8</v>
      </c>
    </row>
    <row r="22" spans="2:16" ht="27" thickBot="1" x14ac:dyDescent="0.5">
      <c r="B22">
        <v>3300</v>
      </c>
      <c r="C22" s="6">
        <v>3000</v>
      </c>
      <c r="D22">
        <f>E12-1491308</f>
        <v>-38207</v>
      </c>
      <c r="F22" s="2" t="s">
        <v>9</v>
      </c>
      <c r="G22" s="3">
        <v>123420</v>
      </c>
      <c r="H22" s="30">
        <v>123420</v>
      </c>
      <c r="I22" s="31"/>
      <c r="J22" s="11" t="s">
        <v>25</v>
      </c>
    </row>
    <row r="23" spans="2:16" ht="27" thickBot="1" x14ac:dyDescent="0.5">
      <c r="B23">
        <v>0</v>
      </c>
      <c r="C23" s="6">
        <v>155000</v>
      </c>
      <c r="F23" s="37" t="s">
        <v>10</v>
      </c>
      <c r="G23" s="39">
        <v>11000</v>
      </c>
      <c r="H23" s="41">
        <v>3300</v>
      </c>
      <c r="I23" s="42"/>
      <c r="J23" s="10" t="s">
        <v>26</v>
      </c>
    </row>
    <row r="24" spans="2:16" ht="28.2" thickBot="1" x14ac:dyDescent="0.5">
      <c r="B24">
        <v>6115</v>
      </c>
      <c r="C24" s="9">
        <v>10000</v>
      </c>
      <c r="F24" s="38"/>
      <c r="G24" s="40"/>
      <c r="H24" s="43"/>
      <c r="I24" s="44"/>
      <c r="J24" s="12" t="s">
        <v>11</v>
      </c>
    </row>
    <row r="25" spans="2:16" ht="151.19999999999999" thickBot="1" x14ac:dyDescent="0.5">
      <c r="C25" s="6">
        <v>6000</v>
      </c>
      <c r="F25" s="2" t="s">
        <v>12</v>
      </c>
      <c r="G25" s="3">
        <v>45560</v>
      </c>
      <c r="H25" s="30">
        <v>155560</v>
      </c>
      <c r="I25" s="31"/>
      <c r="J25" s="11" t="s">
        <v>13</v>
      </c>
    </row>
    <row r="26" spans="2:16" ht="94.8" thickBot="1" x14ac:dyDescent="0.5">
      <c r="B26">
        <v>155560</v>
      </c>
      <c r="C26" s="1">
        <f>SUM(C19:C25)</f>
        <v>1488000</v>
      </c>
      <c r="F26" s="2" t="s">
        <v>44</v>
      </c>
      <c r="G26" s="3">
        <v>10000</v>
      </c>
      <c r="H26" s="30">
        <v>10000</v>
      </c>
      <c r="I26" s="31"/>
      <c r="J26" s="12" t="s">
        <v>14</v>
      </c>
    </row>
    <row r="27" spans="2:16" ht="81" thickBot="1" x14ac:dyDescent="0.5">
      <c r="B27">
        <v>10000</v>
      </c>
      <c r="F27" s="2" t="s">
        <v>22</v>
      </c>
      <c r="G27" s="3">
        <v>100000</v>
      </c>
      <c r="H27" s="32">
        <v>0</v>
      </c>
      <c r="I27" s="33"/>
      <c r="J27" s="12" t="s">
        <v>15</v>
      </c>
    </row>
    <row r="28" spans="2:16" ht="53.4" thickBot="1" x14ac:dyDescent="0.5">
      <c r="F28" s="2" t="s">
        <v>23</v>
      </c>
      <c r="G28" s="3">
        <v>10000</v>
      </c>
      <c r="H28" s="30">
        <v>6115</v>
      </c>
      <c r="I28" s="31"/>
      <c r="J28" s="11" t="s">
        <v>16</v>
      </c>
    </row>
    <row r="29" spans="2:16" ht="18.600000000000001" thickBot="1" x14ac:dyDescent="0.5">
      <c r="F29" s="4" t="s">
        <v>17</v>
      </c>
      <c r="G29" s="3">
        <v>1491308</v>
      </c>
      <c r="H29" s="5" t="s">
        <v>18</v>
      </c>
      <c r="I29" s="3">
        <v>1489000</v>
      </c>
      <c r="J29" s="12"/>
    </row>
    <row r="31" spans="2:16" ht="18.600000000000001" thickBot="1" x14ac:dyDescent="0.5"/>
    <row r="32" spans="2:16" ht="18.600000000000001" thickBot="1" x14ac:dyDescent="0.5">
      <c r="B32" s="8">
        <v>2090000</v>
      </c>
    </row>
    <row r="33" spans="2:2" ht="18.600000000000001" thickBot="1" x14ac:dyDescent="0.5">
      <c r="B33" s="6">
        <v>783000</v>
      </c>
    </row>
    <row r="34" spans="2:2" ht="18.600000000000001" thickBot="1" x14ac:dyDescent="0.5">
      <c r="B34" s="6">
        <v>627000</v>
      </c>
    </row>
    <row r="35" spans="2:2" ht="18.600000000000001" thickBot="1" x14ac:dyDescent="0.5">
      <c r="B35" s="6">
        <v>5500</v>
      </c>
    </row>
    <row r="36" spans="2:2" ht="18.600000000000001" thickBot="1" x14ac:dyDescent="0.5">
      <c r="B36" s="6">
        <v>100000</v>
      </c>
    </row>
    <row r="37" spans="2:2" ht="18.600000000000001" thickBot="1" x14ac:dyDescent="0.5">
      <c r="B37" s="6">
        <v>5000</v>
      </c>
    </row>
    <row r="38" spans="2:2" ht="18.600000000000001" thickBot="1" x14ac:dyDescent="0.5">
      <c r="B38" s="6">
        <v>5000</v>
      </c>
    </row>
    <row r="39" spans="2:2" ht="18.600000000000001" thickBot="1" x14ac:dyDescent="0.5">
      <c r="B39" s="6">
        <v>5000</v>
      </c>
    </row>
    <row r="40" spans="2:2" x14ac:dyDescent="0.45">
      <c r="B40" s="1">
        <f>SUM(B32:B39)</f>
        <v>3620500</v>
      </c>
    </row>
  </sheetData>
  <mergeCells count="22">
    <mergeCell ref="H28:I28"/>
    <mergeCell ref="L13:N13"/>
    <mergeCell ref="F20:F21"/>
    <mergeCell ref="G20:G21"/>
    <mergeCell ref="H20:I21"/>
    <mergeCell ref="H22:I22"/>
    <mergeCell ref="F23:F24"/>
    <mergeCell ref="G23:G24"/>
    <mergeCell ref="H23:I24"/>
    <mergeCell ref="F16:F17"/>
    <mergeCell ref="G16:G17"/>
    <mergeCell ref="H16:I16"/>
    <mergeCell ref="H17:I17"/>
    <mergeCell ref="J16:J17"/>
    <mergeCell ref="F18:F19"/>
    <mergeCell ref="G18:G19"/>
    <mergeCell ref="L3:L12"/>
    <mergeCell ref="Q3:Q12"/>
    <mergeCell ref="H25:I25"/>
    <mergeCell ref="H26:I26"/>
    <mergeCell ref="H27:I27"/>
    <mergeCell ref="H18:I1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FEC5-67F1-42DB-8916-9E98EB80DE36}">
  <sheetPr>
    <pageSetUpPr fitToPage="1"/>
  </sheetPr>
  <dimension ref="A1:H28"/>
  <sheetViews>
    <sheetView tabSelected="1" workbookViewId="0">
      <selection activeCell="A2" sqref="A2"/>
    </sheetView>
  </sheetViews>
  <sheetFormatPr defaultRowHeight="18" x14ac:dyDescent="0.45"/>
  <cols>
    <col min="1" max="2" width="12" style="53" customWidth="1"/>
    <col min="3" max="3" width="12" style="55" customWidth="1"/>
    <col min="4" max="4" width="12" style="56" customWidth="1"/>
    <col min="5" max="5" width="10.3984375" style="54" customWidth="1"/>
    <col min="6" max="6" width="11.09765625" style="53" customWidth="1"/>
    <col min="7" max="7" width="4.796875" style="53" customWidth="1"/>
    <col min="8" max="8" width="14.69921875" style="53" customWidth="1"/>
    <col min="9" max="16384" width="8.796875" style="53"/>
  </cols>
  <sheetData>
    <row r="1" spans="1:8" ht="36.6" customHeight="1" x14ac:dyDescent="0.45">
      <c r="A1" s="57" t="s">
        <v>115</v>
      </c>
    </row>
    <row r="2" spans="1:8" ht="72" x14ac:dyDescent="0.45">
      <c r="A2" s="71" t="s">
        <v>112</v>
      </c>
      <c r="B2" s="71" t="s">
        <v>46</v>
      </c>
      <c r="C2" s="72" t="s">
        <v>47</v>
      </c>
      <c r="D2" s="71" t="s">
        <v>48</v>
      </c>
      <c r="E2" s="73" t="s">
        <v>49</v>
      </c>
      <c r="F2" s="71" t="s">
        <v>50</v>
      </c>
      <c r="G2" s="71" t="s">
        <v>51</v>
      </c>
      <c r="H2" s="71" t="s">
        <v>114</v>
      </c>
    </row>
    <row r="3" spans="1:8" ht="54" x14ac:dyDescent="0.45">
      <c r="A3" s="59" t="s">
        <v>67</v>
      </c>
      <c r="B3" s="60">
        <v>46135</v>
      </c>
      <c r="C3" s="61" t="s">
        <v>55</v>
      </c>
      <c r="D3" s="59" t="s">
        <v>68</v>
      </c>
      <c r="E3" s="62">
        <v>1000</v>
      </c>
      <c r="F3" s="59" t="s">
        <v>56</v>
      </c>
      <c r="G3" s="59" t="s">
        <v>57</v>
      </c>
      <c r="H3" s="63" t="s">
        <v>69</v>
      </c>
    </row>
    <row r="4" spans="1:8" x14ac:dyDescent="0.45">
      <c r="A4" s="59" t="s">
        <v>62</v>
      </c>
      <c r="B4" s="60">
        <v>46277</v>
      </c>
      <c r="C4" s="61" t="s">
        <v>53</v>
      </c>
      <c r="D4" s="59" t="s">
        <v>59</v>
      </c>
      <c r="E4" s="64">
        <v>660</v>
      </c>
      <c r="F4" s="59" t="s">
        <v>58</v>
      </c>
      <c r="G4" s="59" t="s">
        <v>57</v>
      </c>
      <c r="H4" s="59" t="s">
        <v>73</v>
      </c>
    </row>
    <row r="5" spans="1:8" x14ac:dyDescent="0.45">
      <c r="A5" s="59" t="s">
        <v>63</v>
      </c>
      <c r="B5" s="65">
        <v>46281</v>
      </c>
      <c r="C5" s="61" t="s">
        <v>53</v>
      </c>
      <c r="D5" s="66" t="s">
        <v>60</v>
      </c>
      <c r="E5" s="64">
        <v>260</v>
      </c>
      <c r="F5" s="59" t="s">
        <v>56</v>
      </c>
      <c r="G5" s="59" t="s">
        <v>57</v>
      </c>
      <c r="H5" s="59" t="s">
        <v>73</v>
      </c>
    </row>
    <row r="6" spans="1:8" x14ac:dyDescent="0.45">
      <c r="A6" s="59" t="s">
        <v>64</v>
      </c>
      <c r="B6" s="65">
        <v>46283</v>
      </c>
      <c r="C6" s="61" t="s">
        <v>53</v>
      </c>
      <c r="D6" s="66" t="s">
        <v>59</v>
      </c>
      <c r="E6" s="64">
        <v>440</v>
      </c>
      <c r="F6" s="59" t="s">
        <v>56</v>
      </c>
      <c r="G6" s="59" t="s">
        <v>57</v>
      </c>
      <c r="H6" s="59" t="s">
        <v>73</v>
      </c>
    </row>
    <row r="7" spans="1:8" x14ac:dyDescent="0.45">
      <c r="A7" s="59" t="s">
        <v>65</v>
      </c>
      <c r="B7" s="65">
        <v>46284</v>
      </c>
      <c r="C7" s="61" t="s">
        <v>53</v>
      </c>
      <c r="D7" s="66" t="s">
        <v>59</v>
      </c>
      <c r="E7" s="67">
        <v>2090</v>
      </c>
      <c r="F7" s="59" t="s">
        <v>56</v>
      </c>
      <c r="G7" s="59" t="s">
        <v>57</v>
      </c>
      <c r="H7" s="59" t="s">
        <v>73</v>
      </c>
    </row>
    <row r="8" spans="1:8" ht="36" x14ac:dyDescent="0.45">
      <c r="A8" s="59" t="s">
        <v>70</v>
      </c>
      <c r="B8" s="65">
        <v>46285</v>
      </c>
      <c r="C8" s="61" t="s">
        <v>55</v>
      </c>
      <c r="D8" s="66" t="s">
        <v>72</v>
      </c>
      <c r="E8" s="62">
        <v>1000</v>
      </c>
      <c r="F8" s="59" t="s">
        <v>56</v>
      </c>
      <c r="G8" s="59" t="s">
        <v>57</v>
      </c>
      <c r="H8" s="59" t="s">
        <v>73</v>
      </c>
    </row>
    <row r="9" spans="1:8" ht="36" x14ac:dyDescent="0.45">
      <c r="A9" s="59" t="s">
        <v>71</v>
      </c>
      <c r="B9" s="65">
        <v>46286</v>
      </c>
      <c r="C9" s="61" t="s">
        <v>55</v>
      </c>
      <c r="D9" s="66" t="s">
        <v>72</v>
      </c>
      <c r="E9" s="62">
        <v>1000</v>
      </c>
      <c r="F9" s="59" t="s">
        <v>56</v>
      </c>
      <c r="G9" s="59" t="s">
        <v>57</v>
      </c>
      <c r="H9" s="59" t="s">
        <v>73</v>
      </c>
    </row>
    <row r="10" spans="1:8" x14ac:dyDescent="0.45">
      <c r="A10" s="59" t="s">
        <v>101</v>
      </c>
      <c r="B10" s="65">
        <v>46289</v>
      </c>
      <c r="C10" s="61" t="s">
        <v>102</v>
      </c>
      <c r="D10" s="66" t="s">
        <v>103</v>
      </c>
      <c r="E10" s="67">
        <v>10000</v>
      </c>
      <c r="F10" s="59" t="s">
        <v>56</v>
      </c>
      <c r="G10" s="59" t="s">
        <v>57</v>
      </c>
      <c r="H10" s="59" t="s">
        <v>73</v>
      </c>
    </row>
    <row r="11" spans="1:8" x14ac:dyDescent="0.45">
      <c r="A11" s="59" t="s">
        <v>66</v>
      </c>
      <c r="B11" s="65">
        <v>46331</v>
      </c>
      <c r="C11" s="61" t="s">
        <v>53</v>
      </c>
      <c r="D11" s="66" t="s">
        <v>61</v>
      </c>
      <c r="E11" s="67">
        <v>665</v>
      </c>
      <c r="F11" s="59" t="s">
        <v>56</v>
      </c>
      <c r="G11" s="59" t="s">
        <v>57</v>
      </c>
      <c r="H11" s="63" t="s">
        <v>74</v>
      </c>
    </row>
    <row r="12" spans="1:8" ht="36" x14ac:dyDescent="0.45">
      <c r="A12" s="59" t="s">
        <v>97</v>
      </c>
      <c r="B12" s="65">
        <v>46140</v>
      </c>
      <c r="C12" s="68" t="s">
        <v>83</v>
      </c>
      <c r="D12" s="66" t="s">
        <v>86</v>
      </c>
      <c r="E12" s="62">
        <v>880000</v>
      </c>
      <c r="F12" s="63" t="s">
        <v>104</v>
      </c>
      <c r="G12" s="59" t="s">
        <v>54</v>
      </c>
      <c r="H12" s="58" t="s">
        <v>105</v>
      </c>
    </row>
    <row r="13" spans="1:8" ht="36" x14ac:dyDescent="0.45">
      <c r="A13" s="59" t="s">
        <v>98</v>
      </c>
      <c r="B13" s="65">
        <v>46161</v>
      </c>
      <c r="C13" s="68" t="s">
        <v>84</v>
      </c>
      <c r="D13" s="66" t="s">
        <v>87</v>
      </c>
      <c r="E13" s="62">
        <v>41278</v>
      </c>
      <c r="F13" s="63" t="s">
        <v>104</v>
      </c>
      <c r="G13" s="59" t="s">
        <v>54</v>
      </c>
      <c r="H13" s="58" t="s">
        <v>106</v>
      </c>
    </row>
    <row r="14" spans="1:8" ht="36" x14ac:dyDescent="0.45">
      <c r="A14" s="59" t="s">
        <v>99</v>
      </c>
      <c r="B14" s="60">
        <v>46163</v>
      </c>
      <c r="C14" s="68" t="s">
        <v>84</v>
      </c>
      <c r="D14" s="66" t="s">
        <v>88</v>
      </c>
      <c r="E14" s="69">
        <v>14300</v>
      </c>
      <c r="F14" s="63" t="s">
        <v>104</v>
      </c>
      <c r="G14" s="59" t="s">
        <v>54</v>
      </c>
      <c r="H14" s="58" t="s">
        <v>106</v>
      </c>
    </row>
    <row r="15" spans="1:8" ht="36" x14ac:dyDescent="0.45">
      <c r="A15" s="59" t="s">
        <v>108</v>
      </c>
      <c r="B15" s="65">
        <v>46156</v>
      </c>
      <c r="C15" s="68" t="s">
        <v>84</v>
      </c>
      <c r="D15" s="66" t="s">
        <v>107</v>
      </c>
      <c r="E15" s="62">
        <v>5390</v>
      </c>
      <c r="F15" s="63" t="s">
        <v>104</v>
      </c>
      <c r="G15" s="59" t="s">
        <v>54</v>
      </c>
      <c r="H15" s="58" t="s">
        <v>106</v>
      </c>
    </row>
    <row r="16" spans="1:8" ht="36" x14ac:dyDescent="0.45">
      <c r="A16" s="59" t="s">
        <v>109</v>
      </c>
      <c r="B16" s="65">
        <v>46157</v>
      </c>
      <c r="C16" s="68" t="s">
        <v>78</v>
      </c>
      <c r="D16" s="66" t="s">
        <v>107</v>
      </c>
      <c r="E16" s="62">
        <v>1678</v>
      </c>
      <c r="F16" s="63" t="s">
        <v>104</v>
      </c>
      <c r="G16" s="59" t="s">
        <v>54</v>
      </c>
      <c r="H16" s="58" t="s">
        <v>106</v>
      </c>
    </row>
    <row r="17" spans="1:8" ht="36" x14ac:dyDescent="0.45">
      <c r="A17" s="59" t="s">
        <v>100</v>
      </c>
      <c r="B17" s="65">
        <v>46189</v>
      </c>
      <c r="C17" s="68" t="s">
        <v>83</v>
      </c>
      <c r="D17" s="59" t="s">
        <v>89</v>
      </c>
      <c r="E17" s="62">
        <v>311300</v>
      </c>
      <c r="F17" s="63" t="s">
        <v>104</v>
      </c>
      <c r="G17" s="59" t="s">
        <v>54</v>
      </c>
      <c r="H17" s="58" t="s">
        <v>106</v>
      </c>
    </row>
    <row r="18" spans="1:8" x14ac:dyDescent="0.45">
      <c r="A18" s="59" t="s">
        <v>52</v>
      </c>
      <c r="B18" s="65">
        <v>46140</v>
      </c>
      <c r="C18" s="68" t="s">
        <v>75</v>
      </c>
      <c r="D18" s="59" t="s">
        <v>57</v>
      </c>
      <c r="E18" s="62">
        <v>550</v>
      </c>
      <c r="F18" s="63" t="s">
        <v>104</v>
      </c>
      <c r="G18" s="59" t="s">
        <v>54</v>
      </c>
      <c r="H18" s="59" t="s">
        <v>97</v>
      </c>
    </row>
    <row r="19" spans="1:8" x14ac:dyDescent="0.45">
      <c r="A19" s="59" t="s">
        <v>91</v>
      </c>
      <c r="B19" s="65">
        <v>46161</v>
      </c>
      <c r="C19" s="68" t="s">
        <v>75</v>
      </c>
      <c r="D19" s="59" t="s">
        <v>57</v>
      </c>
      <c r="E19" s="62">
        <v>550</v>
      </c>
      <c r="F19" s="63" t="s">
        <v>104</v>
      </c>
      <c r="G19" s="59" t="s">
        <v>54</v>
      </c>
      <c r="H19" s="59" t="s">
        <v>98</v>
      </c>
    </row>
    <row r="20" spans="1:8" x14ac:dyDescent="0.45">
      <c r="A20" s="59" t="s">
        <v>92</v>
      </c>
      <c r="B20" s="65">
        <v>46163</v>
      </c>
      <c r="C20" s="68" t="s">
        <v>75</v>
      </c>
      <c r="D20" s="59" t="s">
        <v>57</v>
      </c>
      <c r="E20" s="62">
        <v>550</v>
      </c>
      <c r="F20" s="63" t="s">
        <v>104</v>
      </c>
      <c r="G20" s="59" t="s">
        <v>54</v>
      </c>
      <c r="H20" s="59" t="s">
        <v>99</v>
      </c>
    </row>
    <row r="21" spans="1:8" x14ac:dyDescent="0.45">
      <c r="A21" s="59" t="s">
        <v>93</v>
      </c>
      <c r="B21" s="65">
        <v>46189</v>
      </c>
      <c r="C21" s="68" t="s">
        <v>75</v>
      </c>
      <c r="D21" s="59" t="s">
        <v>57</v>
      </c>
      <c r="E21" s="62">
        <v>330</v>
      </c>
      <c r="F21" s="63" t="s">
        <v>104</v>
      </c>
      <c r="G21" s="59" t="s">
        <v>54</v>
      </c>
      <c r="H21" s="59" t="s">
        <v>100</v>
      </c>
    </row>
    <row r="22" spans="1:8" x14ac:dyDescent="0.45">
      <c r="A22" s="59" t="s">
        <v>94</v>
      </c>
      <c r="B22" s="65">
        <v>46234</v>
      </c>
      <c r="C22" s="68" t="s">
        <v>84</v>
      </c>
      <c r="D22" s="66" t="s">
        <v>90</v>
      </c>
      <c r="E22" s="62">
        <v>65330</v>
      </c>
      <c r="F22" s="63" t="s">
        <v>104</v>
      </c>
      <c r="G22" s="59" t="s">
        <v>54</v>
      </c>
      <c r="H22" s="59" t="s">
        <v>57</v>
      </c>
    </row>
    <row r="23" spans="1:8" x14ac:dyDescent="0.45">
      <c r="A23" s="59" t="s">
        <v>118</v>
      </c>
      <c r="B23" s="65">
        <v>46234</v>
      </c>
      <c r="C23" s="68" t="s">
        <v>75</v>
      </c>
      <c r="D23" s="59" t="s">
        <v>57</v>
      </c>
      <c r="E23" s="62">
        <v>550</v>
      </c>
      <c r="F23" s="63" t="s">
        <v>104</v>
      </c>
      <c r="G23" s="59" t="s">
        <v>54</v>
      </c>
      <c r="H23" s="59" t="s">
        <v>94</v>
      </c>
    </row>
    <row r="24" spans="1:8" ht="54" x14ac:dyDescent="0.45">
      <c r="A24" s="59" t="s">
        <v>95</v>
      </c>
      <c r="B24" s="65">
        <v>46310</v>
      </c>
      <c r="C24" s="66" t="s">
        <v>85</v>
      </c>
      <c r="D24" s="66" t="s">
        <v>113</v>
      </c>
      <c r="E24" s="62">
        <v>3300</v>
      </c>
      <c r="F24" s="63" t="s">
        <v>104</v>
      </c>
      <c r="G24" s="59" t="s">
        <v>54</v>
      </c>
      <c r="H24" s="58" t="s">
        <v>117</v>
      </c>
    </row>
    <row r="25" spans="1:8" x14ac:dyDescent="0.45">
      <c r="A25" s="59" t="s">
        <v>119</v>
      </c>
      <c r="B25" s="65">
        <v>46310</v>
      </c>
      <c r="C25" s="68" t="s">
        <v>75</v>
      </c>
      <c r="D25" s="59" t="s">
        <v>57</v>
      </c>
      <c r="E25" s="62">
        <v>330</v>
      </c>
      <c r="F25" s="63" t="s">
        <v>104</v>
      </c>
      <c r="G25" s="59" t="s">
        <v>54</v>
      </c>
      <c r="H25" s="59" t="s">
        <v>95</v>
      </c>
    </row>
    <row r="26" spans="1:8" x14ac:dyDescent="0.45">
      <c r="A26" s="59" t="s">
        <v>96</v>
      </c>
      <c r="B26" s="65">
        <v>46105</v>
      </c>
      <c r="C26" s="68" t="s">
        <v>110</v>
      </c>
      <c r="D26" s="66" t="s">
        <v>86</v>
      </c>
      <c r="E26" s="62">
        <v>110000</v>
      </c>
      <c r="F26" s="63" t="s">
        <v>104</v>
      </c>
      <c r="G26" s="59" t="s">
        <v>54</v>
      </c>
      <c r="H26" s="59" t="s">
        <v>57</v>
      </c>
    </row>
    <row r="27" spans="1:8" x14ac:dyDescent="0.45">
      <c r="A27" s="59" t="s">
        <v>116</v>
      </c>
      <c r="B27" s="65">
        <v>46105</v>
      </c>
      <c r="C27" s="68" t="s">
        <v>75</v>
      </c>
      <c r="D27" s="59" t="s">
        <v>57</v>
      </c>
      <c r="E27" s="62">
        <v>550</v>
      </c>
      <c r="F27" s="63" t="s">
        <v>104</v>
      </c>
      <c r="G27" s="59" t="s">
        <v>54</v>
      </c>
      <c r="H27" s="59" t="s">
        <v>96</v>
      </c>
    </row>
    <row r="28" spans="1:8" x14ac:dyDescent="0.45">
      <c r="A28" s="63"/>
      <c r="B28" s="63"/>
      <c r="C28" s="68"/>
      <c r="D28" s="66" t="s">
        <v>111</v>
      </c>
      <c r="E28" s="70">
        <f>SUM(E3:E27)</f>
        <v>1453101</v>
      </c>
      <c r="F28" s="63"/>
      <c r="G28" s="63"/>
      <c r="H28" s="63"/>
    </row>
  </sheetData>
  <sortState xmlns:xlrd2="http://schemas.microsoft.com/office/spreadsheetml/2017/richdata2" ref="A3:H30">
    <sortCondition ref="A2:A30"/>
  </sortState>
  <phoneticPr fontId="1"/>
  <pageMargins left="0.78740157480314965" right="0.39370078740157483" top="0.59055118110236227" bottom="0.59055118110236227" header="0.51181102362204722" footer="0.51181102362204722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R7_証憑整理一覧表（兼 支出管理簿）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紗希 新田</dc:creator>
  <cp:lastModifiedBy>紗希 新田</cp:lastModifiedBy>
  <cp:lastPrinted>2026-03-26T05:15:22Z</cp:lastPrinted>
  <dcterms:created xsi:type="dcterms:W3CDTF">2026-03-23T06:48:32Z</dcterms:created>
  <dcterms:modified xsi:type="dcterms:W3CDTF">2026-03-26T05:17:59Z</dcterms:modified>
</cp:coreProperties>
</file>