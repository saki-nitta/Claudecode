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仕事\３.現在進行中、未分類\"/>
    </mc:Choice>
  </mc:AlternateContent>
  <xr:revisionPtr revIDLastSave="0" documentId="13_ncr:11_{9EBBD277-96CE-4BE1-BC9D-282FBBFB8B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発注書" sheetId="1" r:id="rId1"/>
  </sheets>
  <definedNames>
    <definedName name="_xlnm.Print_Area" localSheetId="0">発注書!$A$1:$F$34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1" i="1"/>
  <c r="F22" i="1"/>
  <c r="F24" i="1"/>
  <c r="F25" i="1"/>
  <c r="F26" i="1"/>
  <c r="F27" i="1"/>
  <c r="F28" i="1" l="1"/>
  <c r="B16" i="1" s="1"/>
</calcChain>
</file>

<file path=xl/sharedStrings.xml><?xml version="1.0" encoding="utf-8"?>
<sst xmlns="http://schemas.openxmlformats.org/spreadsheetml/2006/main" count="37" uniqueCount="36">
  <si>
    <t>発注書</t>
    <rPh sb="0" eb="2">
      <t>ハッチュウ</t>
    </rPh>
    <rPh sb="2" eb="3">
      <t>ショ</t>
    </rPh>
    <phoneticPr fontId="2"/>
  </si>
  <si>
    <t>発注年月日</t>
    <rPh sb="0" eb="2">
      <t>ハッチュウ</t>
    </rPh>
    <rPh sb="2" eb="5">
      <t>ネンガッピ</t>
    </rPh>
    <phoneticPr fontId="2"/>
  </si>
  <si>
    <t>発注書No.</t>
    <rPh sb="0" eb="2">
      <t>ハッチュウ</t>
    </rPh>
    <rPh sb="2" eb="3">
      <t>ショ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</si>
  <si>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</si>
  <si>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</si>
  <si>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</si>
  <si>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金額（税込み）</t>
    <rPh sb="0" eb="2">
      <t>キンガク</t>
    </rPh>
    <rPh sb="3" eb="5">
      <t>ゼイコ</t>
    </rPh>
    <phoneticPr fontId="2"/>
  </si>
  <si>
    <t>合計金額</t>
    <rPh sb="0" eb="2">
      <t>ゴウケイ</t>
    </rPh>
    <rPh sb="2" eb="4">
      <t>キンガク</t>
    </rPh>
    <phoneticPr fontId="2"/>
  </si>
  <si>
    <t>備考</t>
    <rPh sb="0" eb="2">
      <t>ビコウ</t>
    </rPh>
    <phoneticPr fontId="2"/>
  </si>
  <si>
    <t>納品期限</t>
    <rPh sb="0" eb="2">
      <t>ノウヒン</t>
    </rPh>
    <rPh sb="2" eb="4">
      <t>キゲン</t>
    </rPh>
    <phoneticPr fontId="2"/>
  </si>
  <si>
    <t>下記の通り、発注いたします。</t>
    <rPh sb="0" eb="2">
      <t>カキ</t>
    </rPh>
    <rPh sb="3" eb="4">
      <t>トオ</t>
    </rPh>
    <rPh sb="6" eb="8">
      <t>ハッチュウ</t>
    </rPh>
    <phoneticPr fontId="2"/>
  </si>
  <si>
    <t>住所： 〒</t>
    <rPh sb="0" eb="2">
      <t>ジュウショ</t>
    </rPh>
    <phoneticPr fontId="2"/>
  </si>
  <si>
    <t>TEL：</t>
    <phoneticPr fontId="2"/>
  </si>
  <si>
    <t>代表：</t>
    <rPh sb="0" eb="2">
      <t>ダイヒョウ</t>
    </rPh>
    <phoneticPr fontId="2"/>
  </si>
  <si>
    <t>新田　紗希</t>
    <rPh sb="0" eb="2">
      <t>ニッタ</t>
    </rPh>
    <rPh sb="3" eb="5">
      <t>サキ</t>
    </rPh>
    <phoneticPr fontId="2"/>
  </si>
  <si>
    <t>020-0835</t>
    <phoneticPr fontId="2"/>
  </si>
  <si>
    <t>岩手県盛岡市津志田14-39-31</t>
    <rPh sb="0" eb="17">
      <t>ジュウショ</t>
    </rPh>
    <phoneticPr fontId="2"/>
  </si>
  <si>
    <t>090-4478-3601</t>
    <phoneticPr fontId="2"/>
  </si>
  <si>
    <t>品番・品名</t>
    <rPh sb="0" eb="2">
      <t>ヒンバン</t>
    </rPh>
    <rPh sb="3" eb="5">
      <t>シナメイ</t>
    </rPh>
    <phoneticPr fontId="2"/>
  </si>
  <si>
    <t>番号</t>
    <rPh sb="0" eb="2">
      <t>バンゴウ</t>
    </rPh>
    <phoneticPr fontId="2"/>
  </si>
  <si>
    <t>1</t>
    <phoneticPr fontId="2"/>
  </si>
  <si>
    <t>商品コンセプト作成</t>
    <rPh sb="0" eb="2">
      <t>ショウヒン</t>
    </rPh>
    <rPh sb="7" eb="9">
      <t>サクセイ</t>
    </rPh>
    <phoneticPr fontId="2"/>
  </si>
  <si>
    <t>人件費（打ち合わせ・現地調査費など）</t>
    <rPh sb="0" eb="3">
      <t>ジンケンヒ</t>
    </rPh>
    <rPh sb="4" eb="5">
      <t>ウ</t>
    </rPh>
    <rPh sb="6" eb="7">
      <t>ア</t>
    </rPh>
    <rPh sb="10" eb="12">
      <t>ゲンチ</t>
    </rPh>
    <rPh sb="12" eb="14">
      <t>チョウサ</t>
    </rPh>
    <rPh sb="14" eb="15">
      <t>ヒ</t>
    </rPh>
    <phoneticPr fontId="2"/>
  </si>
  <si>
    <t>１時間</t>
    <rPh sb="1" eb="3">
      <t>ジカン</t>
    </rPh>
    <phoneticPr fontId="2"/>
  </si>
  <si>
    <t>１式</t>
    <rPh sb="1" eb="2">
      <t>シキ</t>
    </rPh>
    <phoneticPr fontId="2"/>
  </si>
  <si>
    <t>2</t>
    <phoneticPr fontId="2"/>
  </si>
  <si>
    <t>20240905-1</t>
    <phoneticPr fontId="2"/>
  </si>
  <si>
    <t xml:space="preserve">一般社団法人　
岩手アートディレクターズクラブ
</t>
    <rPh sb="0" eb="2">
      <t>イッパン</t>
    </rPh>
    <rPh sb="2" eb="4">
      <t>シャダン</t>
    </rPh>
    <rPh sb="4" eb="6">
      <t>ホウジン</t>
    </rPh>
    <rPh sb="8" eb="10">
      <t>イワテ</t>
    </rPh>
    <phoneticPr fontId="2"/>
  </si>
  <si>
    <t>お支払い条件：銀行振込</t>
    <rPh sb="1" eb="3">
      <t>シハラ</t>
    </rPh>
    <rPh sb="4" eb="6">
      <t>ジョウケン</t>
    </rPh>
    <rPh sb="7" eb="9">
      <t>ギンコウ</t>
    </rPh>
    <rPh sb="9" eb="11">
      <t>フリコミ</t>
    </rPh>
    <phoneticPr fontId="2"/>
  </si>
  <si>
    <t>MAIL：</t>
    <phoneticPr fontId="2"/>
  </si>
  <si>
    <t>toumei.shippo@gmail.com</t>
    <phoneticPr fontId="2"/>
  </si>
  <si>
    <t>おもちゃと遊び企画舎　
とうめいしっぽ</t>
    <rPh sb="5" eb="6">
      <t>アソ</t>
    </rPh>
    <rPh sb="7" eb="10">
      <t>キカクシャ</t>
    </rPh>
    <phoneticPr fontId="2"/>
  </si>
  <si>
    <t>件名</t>
    <rPh sb="0" eb="2">
      <t>ケンメイ</t>
    </rPh>
    <phoneticPr fontId="2"/>
  </si>
  <si>
    <t>さんさコイン（仮）</t>
    <rPh sb="7" eb="8">
      <t>カリ</t>
    </rPh>
    <phoneticPr fontId="2"/>
  </si>
  <si>
    <t>盛岡市森林づかいイノベーション事業</t>
    <rPh sb="0" eb="3">
      <t>モリオカシ</t>
    </rPh>
    <rPh sb="3" eb="5">
      <t>シンリン</t>
    </rPh>
    <rPh sb="15" eb="17">
      <t>ジギョウ</t>
    </rPh>
    <phoneticPr fontId="2"/>
  </si>
  <si>
    <t>「子どもと盛岡の森の未来を育む、木のおもちゃの商品化」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</si>
</sst>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円&quot;"/>
    <numFmt numFmtId="177" formatCode="[$-411]ggge&quot;年&quot;m&quot;月&quot;d&quot;日&quot;;@"/>
    <numFmt numFmtId="178" formatCode="@&quot;　御中&quot;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3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38" fontId="3" fillId="0" borderId="1" xfId="1" applyFont="1" applyBorder="1" applyAlignment="1">
      <alignment horizontal="right" vertical="center"/>
    </xf>
    <xf numFmtId="38" fontId="3" fillId="0" borderId="2" xfId="1" applyFont="1" applyBorder="1" applyAlignment="1">
      <alignment horizontal="right" vertical="center"/>
    </xf>
    <xf numFmtId="38" fontId="3" fillId="0" borderId="3" xfId="1" applyFont="1" applyBorder="1" applyAlignment="1">
      <alignment horizontal="right" vertical="center"/>
    </xf>
    <xf numFmtId="38" fontId="3" fillId="0" borderId="4" xfId="1" applyFont="1" applyBorder="1" applyAlignment="1">
      <alignment horizontal="right" vertical="center"/>
    </xf>
    <xf numFmtId="38" fontId="3" fillId="0" borderId="5" xfId="1" applyFont="1" applyBorder="1" applyAlignment="1">
      <alignment horizontal="right" vertical="center"/>
    </xf>
    <xf numFmtId="38" fontId="3" fillId="0" borderId="6" xfId="1" applyFont="1" applyBorder="1" applyAlignment="1">
      <alignment horizontal="right" vertical="center"/>
    </xf>
    <xf numFmtId="176" fontId="6" fillId="0" borderId="7" xfId="0" applyNumberFormat="1" applyFont="1" applyBorder="1" applyAlignment="1">
      <alignment horizontal="center" vertical="center"/>
    </xf>
    <xf numFmtId="38" fontId="7" fillId="0" borderId="7" xfId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77" fontId="3" fillId="0" borderId="12" xfId="0" applyNumberFormat="1" applyFont="1" applyBorder="1">
      <alignment vertical="center"/>
    </xf>
    <xf numFmtId="0" fontId="3" fillId="0" borderId="1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17" xfId="0" applyFont="1" applyBorder="1">
      <alignment vertical="center"/>
    </xf>
    <xf numFmtId="0" fontId="3" fillId="0" borderId="18" xfId="0" applyFont="1" applyBorder="1" applyAlignment="1">
      <alignment horizontal="right"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4" fillId="0" borderId="20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4" fillId="0" borderId="24" xfId="0" applyFont="1" applyBorder="1" applyAlignment="1">
      <alignment horizontal="distributed" vertical="center" justifyLastLine="1"/>
    </xf>
    <xf numFmtId="0" fontId="4" fillId="2" borderId="25" xfId="0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4" fillId="2" borderId="27" xfId="0" applyFont="1" applyFill="1" applyBorder="1" applyAlignment="1">
      <alignment horizontal="distributed" vertical="center" justifyLastLine="1"/>
    </xf>
    <xf numFmtId="0" fontId="4" fillId="2" borderId="28" xfId="0" applyFont="1" applyFill="1" applyBorder="1" applyAlignment="1">
      <alignment horizontal="distributed" vertical="center" justifyLastLine="1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distributed" vertical="center" justifyLastLine="1"/>
    </xf>
    <xf numFmtId="0" fontId="4" fillId="2" borderId="36" xfId="0" applyFont="1" applyFill="1" applyBorder="1" applyAlignment="1">
      <alignment horizontal="distributed" vertical="center" justifyLastLine="1"/>
    </xf>
    <xf numFmtId="0" fontId="8" fillId="0" borderId="37" xfId="0" applyFont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textRotation="255"/>
    </xf>
    <xf numFmtId="0" fontId="3" fillId="0" borderId="0" xfId="0" applyFont="1" applyFill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7" xfId="0" applyFont="1" applyBorder="1">
      <alignment vertical="center"/>
    </xf>
    <xf numFmtId="0" fontId="3" fillId="0" borderId="3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0" fontId="3" fillId="0" borderId="34" xfId="0" applyFont="1" applyBorder="1" applyAlignment="1">
      <alignment vertical="top"/>
    </xf>
    <xf numFmtId="0" fontId="3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18" xfId="0" applyFont="1" applyBorder="1">
      <alignment vertical="center"/>
    </xf>
    <xf numFmtId="0" fontId="3" fillId="0" borderId="20" xfId="0" applyFont="1" applyFill="1" applyBorder="1">
      <alignment vertical="center"/>
    </xf>
    <xf numFmtId="0" fontId="0" fillId="0" borderId="21" xfId="0" applyFont="1" applyBorder="1">
      <alignment vertical="center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7</xdr:row>
      <xdr:rowOff>19050</xdr:rowOff>
    </xdr:from>
    <xdr:to>
      <xdr:col>5</xdr:col>
      <xdr:colOff>1167645</xdr:colOff>
      <xdr:row>8</xdr:row>
      <xdr:rowOff>240545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4686C5-8AE7-5CA5-0928-11033DD29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250" y="2616200"/>
          <a:ext cx="996195" cy="996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tabSelected="1" topLeftCell="A16" workbookViewId="0">
      <selection activeCell="B43" sqref="B43"/>
    </sheetView>
  </sheetViews>
  <sheetFormatPr defaultRowHeight="13" x14ac:dyDescent="0.2"/>
  <cols>
    <col min="1" max="1" width="12.6328125" style="50" customWidth="1"/>
    <col min="2" max="2" width="37.90625" style="50" customWidth="1"/>
    <col min="3" max="3" width="8.6328125" style="50" customWidth="1"/>
    <col min="4" max="4" width="7.08984375" style="50" customWidth="1"/>
    <col min="5" max="5" width="10.81640625" style="50" customWidth="1"/>
    <col min="6" max="6" width="18.1796875" style="50" customWidth="1"/>
    <col min="7" max="16384" width="8.7265625" style="50"/>
  </cols>
  <sheetData>
    <row r="1" spans="1:6" ht="42.5" thickTop="1" thickBot="1" x14ac:dyDescent="0.25">
      <c r="A1" s="40" t="s">
        <v>0</v>
      </c>
      <c r="B1" s="40"/>
      <c r="C1" s="40"/>
      <c r="D1" s="40"/>
      <c r="E1" s="40"/>
      <c r="F1" s="40"/>
    </row>
    <row r="2" spans="1:6" ht="15" thickTop="1" thickBot="1" x14ac:dyDescent="0.25">
      <c r="B2" s="1"/>
      <c r="C2" s="1"/>
      <c r="D2" s="1"/>
      <c r="E2" s="1"/>
      <c r="F2" s="1"/>
    </row>
    <row r="3" spans="1:6" ht="24" customHeight="1" x14ac:dyDescent="0.2">
      <c r="B3" s="1"/>
      <c r="C3" s="1"/>
      <c r="D3" s="41" t="s">
        <v>1</v>
      </c>
      <c r="E3" s="42"/>
      <c r="F3" s="20">
        <v>45540</v>
      </c>
    </row>
    <row r="4" spans="1:6" ht="24" customHeight="1" thickBot="1" x14ac:dyDescent="0.25">
      <c r="B4" s="1"/>
      <c r="C4" s="1"/>
      <c r="D4" s="43" t="s">
        <v>2</v>
      </c>
      <c r="E4" s="44"/>
      <c r="F4" s="21" t="s">
        <v>26</v>
      </c>
    </row>
    <row r="5" spans="1:6" ht="10" customHeight="1" x14ac:dyDescent="0.2">
      <c r="B5" s="1"/>
      <c r="C5" s="1"/>
      <c r="D5" s="2"/>
      <c r="E5" s="2"/>
      <c r="F5" s="22"/>
    </row>
    <row r="6" spans="1:6" ht="79" customHeight="1" thickBot="1" x14ac:dyDescent="0.25">
      <c r="A6" s="46" t="s">
        <v>27</v>
      </c>
      <c r="B6" s="45"/>
      <c r="C6" s="1"/>
      <c r="D6" s="2"/>
      <c r="E6" s="2"/>
      <c r="F6" s="22"/>
    </row>
    <row r="7" spans="1:6" ht="10" customHeight="1" thickTop="1" x14ac:dyDescent="0.2">
      <c r="B7" s="1"/>
    </row>
    <row r="8" spans="1:6" ht="61" customHeight="1" x14ac:dyDescent="0.2">
      <c r="B8" s="1"/>
      <c r="C8" s="66" t="s">
        <v>31</v>
      </c>
      <c r="D8" s="67"/>
      <c r="E8" s="67"/>
      <c r="F8" s="68"/>
    </row>
    <row r="9" spans="1:6" ht="23.5" customHeight="1" x14ac:dyDescent="0.2">
      <c r="A9" s="50" t="s">
        <v>32</v>
      </c>
      <c r="B9" s="1"/>
      <c r="C9" s="23" t="s">
        <v>11</v>
      </c>
      <c r="D9" s="61" t="s">
        <v>15</v>
      </c>
      <c r="E9" s="62"/>
      <c r="F9" s="24"/>
    </row>
    <row r="10" spans="1:6" ht="23.5" customHeight="1" x14ac:dyDescent="0.2">
      <c r="A10" s="1" t="s">
        <v>33</v>
      </c>
      <c r="B10" s="1"/>
      <c r="C10" s="25"/>
      <c r="D10" s="58" t="s">
        <v>16</v>
      </c>
      <c r="E10" s="62"/>
      <c r="F10" s="24"/>
    </row>
    <row r="11" spans="1:6" ht="23.5" customHeight="1" x14ac:dyDescent="0.2">
      <c r="A11" s="50" t="s">
        <v>34</v>
      </c>
      <c r="B11" s="1"/>
      <c r="C11" s="23" t="s">
        <v>13</v>
      </c>
      <c r="D11" s="58" t="s">
        <v>14</v>
      </c>
      <c r="E11" s="58"/>
      <c r="F11" s="26"/>
    </row>
    <row r="12" spans="1:6" ht="23.5" customHeight="1" x14ac:dyDescent="0.2">
      <c r="A12" s="50" t="s">
        <v>35</v>
      </c>
      <c r="B12" s="1"/>
      <c r="C12" s="51"/>
      <c r="D12" s="60"/>
      <c r="E12" s="58"/>
      <c r="F12" s="26"/>
    </row>
    <row r="13" spans="1:6" ht="23.5" customHeight="1" x14ac:dyDescent="0.2">
      <c r="B13" s="1"/>
      <c r="C13" s="25"/>
      <c r="D13" s="59" t="s">
        <v>12</v>
      </c>
      <c r="E13" s="58" t="s">
        <v>17</v>
      </c>
      <c r="F13" s="63"/>
    </row>
    <row r="14" spans="1:6" ht="23.5" customHeight="1" x14ac:dyDescent="0.2">
      <c r="A14" s="1" t="s">
        <v>10</v>
      </c>
      <c r="B14" s="1"/>
      <c r="C14" s="27"/>
      <c r="D14" s="28" t="s">
        <v>29</v>
      </c>
      <c r="E14" s="64" t="s">
        <v>30</v>
      </c>
      <c r="F14" s="65"/>
    </row>
    <row r="15" spans="1:6" ht="25.5" customHeight="1" thickBot="1" x14ac:dyDescent="0.25">
      <c r="A15" s="1"/>
      <c r="B15" s="1"/>
      <c r="C15" s="1"/>
      <c r="D15" s="1"/>
      <c r="E15" s="1"/>
      <c r="F15" s="1"/>
    </row>
    <row r="16" spans="1:6" ht="40" customHeight="1" thickBot="1" x14ac:dyDescent="0.25">
      <c r="A16" s="32" t="s">
        <v>7</v>
      </c>
      <c r="B16" s="9">
        <f>F28</f>
        <v>236000</v>
      </c>
      <c r="C16" s="1"/>
      <c r="D16" s="1"/>
      <c r="E16" s="1"/>
      <c r="F16" s="1"/>
    </row>
    <row r="17" spans="1:6" ht="24.5" customHeight="1" thickBot="1" x14ac:dyDescent="0.25">
      <c r="A17" s="1"/>
      <c r="B17" s="1"/>
      <c r="C17" s="1"/>
      <c r="D17" s="1"/>
      <c r="E17" s="1"/>
      <c r="F17" s="1"/>
    </row>
    <row r="18" spans="1:6" ht="43" customHeight="1" thickBot="1" x14ac:dyDescent="0.25">
      <c r="A18" s="33" t="s">
        <v>9</v>
      </c>
      <c r="B18" s="49">
        <v>45747</v>
      </c>
      <c r="C18" s="47"/>
      <c r="D18" s="48"/>
      <c r="E18" s="48"/>
      <c r="F18" s="48"/>
    </row>
    <row r="19" spans="1:6" ht="30.5" customHeight="1" thickBot="1" x14ac:dyDescent="0.25">
      <c r="A19" s="1"/>
      <c r="B19" s="1"/>
      <c r="C19" s="1"/>
      <c r="D19" s="1"/>
      <c r="E19" s="1"/>
      <c r="F19" s="1"/>
    </row>
    <row r="20" spans="1:6" ht="25" customHeight="1" thickBot="1" x14ac:dyDescent="0.25">
      <c r="A20" s="34" t="s">
        <v>19</v>
      </c>
      <c r="B20" s="35" t="s">
        <v>18</v>
      </c>
      <c r="C20" s="36" t="s">
        <v>3</v>
      </c>
      <c r="D20" s="36" t="s">
        <v>4</v>
      </c>
      <c r="E20" s="36" t="s">
        <v>5</v>
      </c>
      <c r="F20" s="37" t="s">
        <v>6</v>
      </c>
    </row>
    <row r="21" spans="1:6" ht="21" customHeight="1" thickTop="1" x14ac:dyDescent="0.2">
      <c r="A21" s="14" t="s">
        <v>20</v>
      </c>
      <c r="B21" s="17" t="s">
        <v>21</v>
      </c>
      <c r="C21" s="11" t="s">
        <v>24</v>
      </c>
      <c r="D21" s="4">
        <v>1</v>
      </c>
      <c r="E21" s="4">
        <v>166000</v>
      </c>
      <c r="F21" s="5">
        <f>D21*E21</f>
        <v>166000</v>
      </c>
    </row>
    <row r="22" spans="1:6" ht="21" customHeight="1" x14ac:dyDescent="0.2">
      <c r="A22" s="15" t="s">
        <v>25</v>
      </c>
      <c r="B22" s="18" t="s">
        <v>22</v>
      </c>
      <c r="C22" s="12" t="s">
        <v>23</v>
      </c>
      <c r="D22" s="3">
        <v>10</v>
      </c>
      <c r="E22" s="3">
        <v>7000</v>
      </c>
      <c r="F22" s="6">
        <f t="shared" ref="F22:F27" si="0">D22*E22</f>
        <v>70000</v>
      </c>
    </row>
    <row r="23" spans="1:6" ht="21" customHeight="1" x14ac:dyDescent="0.2">
      <c r="A23" s="15"/>
      <c r="B23" s="18"/>
      <c r="C23" s="12"/>
      <c r="D23" s="3"/>
      <c r="E23" s="3"/>
      <c r="F23" s="6">
        <f>D23*E23</f>
        <v>0</v>
      </c>
    </row>
    <row r="24" spans="1:6" ht="21" customHeight="1" x14ac:dyDescent="0.2">
      <c r="A24" s="15"/>
      <c r="B24" s="18"/>
      <c r="C24" s="12"/>
      <c r="D24" s="3"/>
      <c r="E24" s="3"/>
      <c r="F24" s="6">
        <f t="shared" si="0"/>
        <v>0</v>
      </c>
    </row>
    <row r="25" spans="1:6" ht="21" customHeight="1" x14ac:dyDescent="0.2">
      <c r="A25" s="15"/>
      <c r="B25" s="18"/>
      <c r="C25" s="12"/>
      <c r="D25" s="3"/>
      <c r="E25" s="3"/>
      <c r="F25" s="6">
        <f t="shared" si="0"/>
        <v>0</v>
      </c>
    </row>
    <row r="26" spans="1:6" ht="21" customHeight="1" x14ac:dyDescent="0.2">
      <c r="A26" s="15"/>
      <c r="B26" s="18"/>
      <c r="C26" s="12"/>
      <c r="D26" s="3"/>
      <c r="E26" s="3"/>
      <c r="F26" s="6">
        <f t="shared" si="0"/>
        <v>0</v>
      </c>
    </row>
    <row r="27" spans="1:6" ht="21" customHeight="1" thickBot="1" x14ac:dyDescent="0.25">
      <c r="A27" s="16"/>
      <c r="B27" s="19"/>
      <c r="C27" s="13"/>
      <c r="D27" s="7"/>
      <c r="E27" s="7"/>
      <c r="F27" s="8">
        <f t="shared" si="0"/>
        <v>0</v>
      </c>
    </row>
    <row r="28" spans="1:6" ht="25" customHeight="1" thickBot="1" x14ac:dyDescent="0.25">
      <c r="A28" s="2"/>
      <c r="B28" s="2"/>
      <c r="C28" s="2"/>
      <c r="D28" s="38" t="s">
        <v>7</v>
      </c>
      <c r="E28" s="39"/>
      <c r="F28" s="10">
        <f>SUM(F21:F27)</f>
        <v>236000</v>
      </c>
    </row>
    <row r="29" spans="1:6" ht="10" customHeight="1" thickBot="1" x14ac:dyDescent="0.25">
      <c r="A29" s="1"/>
      <c r="B29" s="1"/>
      <c r="C29" s="1"/>
      <c r="D29" s="1"/>
      <c r="E29" s="1"/>
      <c r="F29" s="1"/>
    </row>
    <row r="30" spans="1:6" ht="14" x14ac:dyDescent="0.2">
      <c r="A30" s="31" t="s">
        <v>8</v>
      </c>
      <c r="B30" s="29"/>
      <c r="C30" s="29"/>
      <c r="D30" s="29"/>
      <c r="E30" s="29"/>
      <c r="F30" s="30"/>
    </row>
    <row r="31" spans="1:6" x14ac:dyDescent="0.2">
      <c r="A31" s="52" t="s">
        <v>28</v>
      </c>
      <c r="B31" s="53"/>
      <c r="C31" s="53"/>
      <c r="D31" s="53"/>
      <c r="E31" s="53"/>
      <c r="F31" s="54"/>
    </row>
    <row r="32" spans="1:6" ht="33" customHeight="1" x14ac:dyDescent="0.2">
      <c r="A32" s="52"/>
      <c r="B32" s="53"/>
      <c r="C32" s="53"/>
      <c r="D32" s="53"/>
      <c r="E32" s="53"/>
      <c r="F32" s="54"/>
    </row>
    <row r="33" spans="1:6" ht="33" customHeight="1" x14ac:dyDescent="0.2">
      <c r="A33" s="52"/>
      <c r="B33" s="53"/>
      <c r="C33" s="53"/>
      <c r="D33" s="53"/>
      <c r="E33" s="53"/>
      <c r="F33" s="54"/>
    </row>
    <row r="34" spans="1:6" ht="33" customHeight="1" thickBot="1" x14ac:dyDescent="0.25">
      <c r="A34" s="55"/>
      <c r="B34" s="56"/>
      <c r="C34" s="56"/>
      <c r="D34" s="56"/>
      <c r="E34" s="56"/>
      <c r="F34" s="57"/>
    </row>
  </sheetData>
  <mergeCells count="8">
    <mergeCell ref="A31:F34"/>
    <mergeCell ref="D28:E28"/>
    <mergeCell ref="D18:F18"/>
    <mergeCell ref="A1:F1"/>
    <mergeCell ref="D3:E3"/>
    <mergeCell ref="D4:E4"/>
    <mergeCell ref="A6:B6"/>
    <mergeCell ref="C8:F8"/>
  </mergeCells>
  <phoneticPr fontId="2"/>
  <conditionalFormatting sqref="B16 F21:F28">
    <cfRule type="cellIs" dxfId="0" priority="1" stopIfTrue="1" operator="equal">
      <formula>0</formula>
    </cfRule>
  </conditionalFormatting>
  <dataValidations count="1">
    <dataValidation imeMode="off" allowBlank="1" showInputMessage="1" showErrorMessage="1" sqref="F4:F6 D21:E27 F9:F10" xr:uid="{00000000-0002-0000-0000-000000000000}"/>
  </dataValidations>
  <printOptions horizontalCentered="1"/>
  <pageMargins left="0.25" right="0.25" top="0.75" bottom="0.75" header="0.3" footer="0.3"/>
  <pageSetup paperSize="9" scale="86" fitToWidth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発注書 3</TPFriendlyName>
    <NumericId xmlns="1119c2e5-8fb9-4d5f-baf1-202c530f2c34">-1</NumericId>
    <BusinessGroup xmlns="1119c2e5-8fb9-4d5f-baf1-202c530f2c34" xsi:nil="true"/>
    <SourceTitle xmlns="1119c2e5-8fb9-4d5f-baf1-202c530f2c34">発注書 3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337984</Value>
      <Value>451415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2010-01-26T04:18:31+00:00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TP010378479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50136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8D029-3C8C-496B-A252-84F81EF6EC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168686-8512-435F-8391-2C37E4EA4C52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customXml/itemProps3.xml><?xml version="1.0" encoding="utf-8"?>
<ds:datastoreItem xmlns:ds="http://schemas.openxmlformats.org/officeDocument/2006/customXml" ds:itemID="{61CBB97C-924B-4DF7-B185-230EFD755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TM10378479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発注書 3</dc:title>
  <dc:subject/>
  <dc:creator>紗希 新田</dc:creator>
  <cp:keywords/>
  <dc:description/>
  <cp:lastModifiedBy>紗希 新田</cp:lastModifiedBy>
  <cp:lastPrinted>2024-09-20T04:35:33Z</cp:lastPrinted>
  <dcterms:created xsi:type="dcterms:W3CDTF">2005-05-09T08:37:52Z</dcterms:created>
  <dcterms:modified xsi:type="dcterms:W3CDTF">2024-09-20T04:37:44Z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11716100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